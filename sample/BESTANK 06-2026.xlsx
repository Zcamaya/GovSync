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EARNINGS" sheetId="1" state="visible" r:id="rId1"/>
    <sheet name="PHIC" sheetId="2" state="visible" r:id="rId2"/>
    <sheet name="HDMF" sheetId="3" state="visible" r:id="rId3"/>
    <sheet name="SSS" sheetId="4" state="visible" r:id="rId4"/>
    <sheet name="HDMF_LOANS" sheetId="5" state="visible" r:id="rId5"/>
    <sheet name="SSS_LOAN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5">
    <font>
      <name val="Aptos Narrow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FF0000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77D755"/>
        <bgColor rgb="0077D755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pivotButton="0" quotePrefix="0" xfId="0"/>
    <xf numFmtId="49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0" borderId="2" pivotButton="0" quotePrefix="0" xfId="0"/>
    <xf numFmtId="0" fontId="0" fillId="0" borderId="2" pivotButton="0" quotePrefix="0" xfId="0"/>
    <xf numFmtId="4" fontId="4" fillId="0" borderId="3" pivotButton="0" quotePrefix="0" xfId="0"/>
    <xf numFmtId="49" fontId="2" fillId="3" borderId="1" pivotButton="0" quotePrefix="0" xfId="0"/>
    <xf numFmtId="0" fontId="2" fillId="3" borderId="1" pivotButton="0" quotePrefix="0" xfId="0"/>
    <xf numFmtId="4" fontId="2" fillId="3" borderId="1" pivotButton="0" quotePrefix="0" xfId="0"/>
    <xf numFmtId="164" fontId="2" fillId="3" borderId="1" pivotButton="0" quotePrefix="0" xfId="0"/>
    <xf numFmtId="0" fontId="3" fillId="3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"/>
  <sheetViews>
    <sheetView tabSelected="1" workbookViewId="0">
      <selection activeCell="F26" sqref="F26"/>
    </sheetView>
  </sheetViews>
  <sheetFormatPr baseColWidth="8" defaultRowHeight="15"/>
  <cols>
    <col width="5" customWidth="1" min="1" max="1"/>
    <col width="8" customWidth="1" min="2" max="3"/>
    <col width="5" customWidth="1" min="4" max="4"/>
    <col width="40" customWidth="1" min="5" max="5"/>
    <col width="5" customWidth="1" min="6" max="6"/>
    <col width="50" customWidth="1" min="7" max="9"/>
    <col width="10" customWidth="1" min="10" max="10"/>
    <col width="8" customWidth="1" min="11" max="11"/>
    <col width="12" customWidth="1" min="12" max="18"/>
    <col width="14" customWidth="1" min="19" max="19"/>
    <col width="15" customWidth="1" min="20" max="20"/>
    <col width="12" customWidth="1" min="21" max="22"/>
    <col width="15" customWidth="1" min="23" max="24"/>
    <col width="12" customWidth="1" min="25" max="25"/>
    <col width="10" customWidth="1" min="26" max="28"/>
    <col width="15" customWidth="1" min="29" max="29"/>
    <col width="8" customWidth="1" min="30" max="30"/>
    <col width="50" customWidth="1" min="31" max="31"/>
    <col width="100" customWidth="1" min="32" max="32"/>
  </cols>
  <sheetData>
    <row r="1">
      <c r="A1" t="inlineStr">
        <is>
          <t>batchid</t>
        </is>
      </c>
      <c r="B1" t="inlineStr">
        <is>
          <t>fdate</t>
        </is>
      </c>
      <c r="C1" t="inlineStr">
        <is>
          <t>tdate</t>
        </is>
      </c>
      <c r="D1" t="inlineStr">
        <is>
          <t>custid</t>
        </is>
      </c>
      <c r="E1" t="inlineStr">
        <is>
          <t>company</t>
        </is>
      </c>
      <c r="F1" t="inlineStr">
        <is>
          <t>emplid</t>
        </is>
      </c>
      <c r="G1" t="inlineStr">
        <is>
          <t>lastname</t>
        </is>
      </c>
      <c r="H1" t="inlineStr">
        <is>
          <t>firstname</t>
        </is>
      </c>
      <c r="I1" t="inlineStr">
        <is>
          <t>middlename</t>
        </is>
      </c>
      <c r="J1" t="inlineStr">
        <is>
          <t>suffix</t>
        </is>
      </c>
      <c r="K1" t="inlineStr">
        <is>
          <t>birthdate</t>
        </is>
      </c>
      <c r="L1" t="inlineStr">
        <is>
          <t>basicrate</t>
        </is>
      </c>
      <c r="M1" t="inlineStr">
        <is>
          <t>billrate</t>
        </is>
      </c>
      <c r="N1" t="inlineStr">
        <is>
          <t>sssno</t>
        </is>
      </c>
      <c r="O1" t="inlineStr">
        <is>
          <t>sss</t>
        </is>
      </c>
      <c r="P1" t="inlineStr">
        <is>
          <t>eeshare</t>
        </is>
      </c>
      <c r="Q1" t="inlineStr">
        <is>
          <t>ershare</t>
        </is>
      </c>
      <c r="R1" t="inlineStr">
        <is>
          <t>sssrem</t>
        </is>
      </c>
      <c r="S1" t="inlineStr">
        <is>
          <t>er</t>
        </is>
      </c>
      <c r="T1" t="inlineStr">
        <is>
          <t>pagibigno</t>
        </is>
      </c>
      <c r="U1" t="inlineStr">
        <is>
          <t>pagibig</t>
        </is>
      </c>
      <c r="V1" t="inlineStr">
        <is>
          <t>pagibigrem</t>
        </is>
      </c>
      <c r="W1" t="inlineStr">
        <is>
          <t>phealthno</t>
        </is>
      </c>
      <c r="X1" t="inlineStr">
        <is>
          <t>phealth</t>
        </is>
      </c>
      <c r="Y1" t="inlineStr">
        <is>
          <t>phealthrem</t>
        </is>
      </c>
      <c r="Z1" t="inlineStr">
        <is>
          <t>sssloan</t>
        </is>
      </c>
      <c r="AA1" t="inlineStr">
        <is>
          <t>pbigloan</t>
        </is>
      </c>
      <c r="AB1" t="inlineStr">
        <is>
          <t>ctr</t>
        </is>
      </c>
      <c r="AC1" t="inlineStr">
        <is>
          <t>tinno</t>
        </is>
      </c>
      <c r="AD1" t="inlineStr">
        <is>
          <t>datehired</t>
        </is>
      </c>
      <c r="AE1" t="inlineStr">
        <is>
          <t>companyid</t>
        </is>
      </c>
      <c r="AF1" t="inlineStr">
        <is>
          <t>position</t>
        </is>
      </c>
    </row>
    <row r="2">
      <c r="A2" t="inlineStr">
        <is>
          <t>26984</t>
        </is>
      </c>
      <c r="B2" t="inlineStr">
        <is>
          <t>16-May-26</t>
        </is>
      </c>
      <c r="C2" t="inlineStr">
        <is>
          <t>15-Jun-26</t>
        </is>
      </c>
      <c r="D2" t="inlineStr">
        <is>
          <t>01234</t>
        </is>
      </c>
      <c r="E2" t="inlineStr">
        <is>
          <t>BESTANK OFFICE - OPERATING</t>
        </is>
      </c>
      <c r="F2" t="inlineStr">
        <is>
          <t>07282</t>
        </is>
      </c>
      <c r="G2" t="inlineStr">
        <is>
          <t>AGUILLOSO</t>
        </is>
      </c>
      <c r="H2" t="inlineStr">
        <is>
          <t>CYRENE MAE</t>
        </is>
      </c>
      <c r="I2" t="inlineStr">
        <is>
          <t>DONAIRE</t>
        </is>
      </c>
      <c r="K2" t="inlineStr">
        <is>
          <t>02-May-98</t>
        </is>
      </c>
      <c r="L2" t="n">
        <v>722.12</v>
      </c>
      <c r="M2" t="n">
        <v>0</v>
      </c>
      <c r="N2" t="inlineStr">
        <is>
          <t>0829176937</t>
        </is>
      </c>
      <c r="O2" t="n">
        <v>872.9400000000001</v>
      </c>
      <c r="P2" t="n">
        <v>850</v>
      </c>
      <c r="Q2" t="n">
        <v>1700</v>
      </c>
      <c r="R2" t="n">
        <v>2550</v>
      </c>
      <c r="S2" t="n">
        <v>30</v>
      </c>
      <c r="T2" t="inlineStr">
        <is>
          <t>121283251585</t>
        </is>
      </c>
      <c r="U2" t="n">
        <v>183.71</v>
      </c>
      <c r="V2" t="n">
        <v>183.71</v>
      </c>
      <c r="W2" t="inlineStr">
        <is>
          <t>180253025881</t>
        </is>
      </c>
      <c r="X2" t="n">
        <v>431.29</v>
      </c>
      <c r="Y2" t="n">
        <v>431.29</v>
      </c>
      <c r="Z2" t="n">
        <v>1350</v>
      </c>
      <c r="AA2" t="n">
        <v>1093.41</v>
      </c>
      <c r="AB2" t="n">
        <v>2</v>
      </c>
      <c r="AD2" t="inlineStr">
        <is>
          <t>28-Jun-21</t>
        </is>
      </c>
      <c r="AE2" t="inlineStr">
        <is>
          <t>521998-3</t>
        </is>
      </c>
      <c r="AF2" t="inlineStr">
        <is>
          <t>BARCODER</t>
        </is>
      </c>
    </row>
    <row r="3">
      <c r="A3" t="inlineStr">
        <is>
          <t>26984</t>
        </is>
      </c>
      <c r="B3" t="inlineStr">
        <is>
          <t>16-May-26</t>
        </is>
      </c>
      <c r="C3" t="inlineStr">
        <is>
          <t>15-Jun-26</t>
        </is>
      </c>
      <c r="D3" t="inlineStr">
        <is>
          <t>01235</t>
        </is>
      </c>
      <c r="E3" t="inlineStr">
        <is>
          <t>BESTANK HEAD OFFICE - GENERAL ADMIN</t>
        </is>
      </c>
      <c r="F3" t="inlineStr">
        <is>
          <t>02252</t>
        </is>
      </c>
      <c r="G3" t="inlineStr">
        <is>
          <t>ANGELES</t>
        </is>
      </c>
      <c r="H3" t="inlineStr">
        <is>
          <t>FREDDIE</t>
        </is>
      </c>
      <c r="I3" t="inlineStr">
        <is>
          <t>BARTOLOME</t>
        </is>
      </c>
      <c r="K3" t="inlineStr">
        <is>
          <t>11-Sep-82</t>
        </is>
      </c>
      <c r="L3" t="n">
        <v>695</v>
      </c>
      <c r="M3" t="n">
        <v>0</v>
      </c>
      <c r="N3" t="inlineStr">
        <is>
          <t>3409441021</t>
        </is>
      </c>
      <c r="O3" t="n">
        <v>1021.29</v>
      </c>
      <c r="P3" t="n">
        <v>1000</v>
      </c>
      <c r="Q3" t="n">
        <v>2000</v>
      </c>
      <c r="R3" t="n">
        <v>3000</v>
      </c>
      <c r="S3" t="n">
        <v>30</v>
      </c>
      <c r="T3" t="inlineStr">
        <is>
          <t>121231153220</t>
        </is>
      </c>
      <c r="U3" t="n">
        <v>226.86</v>
      </c>
      <c r="V3" t="n">
        <v>226.86</v>
      </c>
      <c r="W3" t="inlineStr">
        <is>
          <t>020504450962</t>
        </is>
      </c>
      <c r="X3" t="n">
        <v>512.5700000000001</v>
      </c>
      <c r="Y3" t="n">
        <v>512.5700000000001</v>
      </c>
      <c r="Z3" t="n">
        <v>0</v>
      </c>
      <c r="AA3" t="n">
        <v>0</v>
      </c>
      <c r="AB3" t="n">
        <v>2</v>
      </c>
      <c r="AC3" t="inlineStr">
        <is>
          <t>N/A-000</t>
        </is>
      </c>
      <c r="AD3" t="inlineStr">
        <is>
          <t>05-Feb-26</t>
        </is>
      </c>
      <c r="AE3" t="inlineStr">
        <is>
          <t>9111982-3</t>
        </is>
      </c>
      <c r="AF3" t="inlineStr">
        <is>
          <t>PRODUCTION WELDER</t>
        </is>
      </c>
    </row>
    <row r="4">
      <c r="A4" t="inlineStr">
        <is>
          <t>26984</t>
        </is>
      </c>
      <c r="B4" t="inlineStr">
        <is>
          <t>16-May-26</t>
        </is>
      </c>
      <c r="C4" t="inlineStr">
        <is>
          <t>15-Jun-26</t>
        </is>
      </c>
      <c r="D4" t="inlineStr">
        <is>
          <t>01235</t>
        </is>
      </c>
      <c r="E4" t="inlineStr">
        <is>
          <t>BESTANK HEAD OFFICE - GENERAL ADMIN</t>
        </is>
      </c>
      <c r="F4" t="inlineStr">
        <is>
          <t>31609</t>
        </is>
      </c>
      <c r="G4" t="inlineStr">
        <is>
          <t>ARDABAN JR</t>
        </is>
      </c>
      <c r="H4" t="inlineStr">
        <is>
          <t>RODRIGO</t>
        </is>
      </c>
      <c r="I4" t="inlineStr">
        <is>
          <t>AMOLO</t>
        </is>
      </c>
      <c r="K4" t="inlineStr">
        <is>
          <t>21-Jul-79</t>
        </is>
      </c>
      <c r="L4" t="n">
        <v>867.95</v>
      </c>
      <c r="M4" t="n">
        <v>757.65</v>
      </c>
      <c r="N4" t="inlineStr">
        <is>
          <t>3353411592</t>
        </is>
      </c>
      <c r="O4" t="n">
        <v>908.67</v>
      </c>
      <c r="P4" t="n">
        <v>900</v>
      </c>
      <c r="Q4" t="n">
        <v>1800</v>
      </c>
      <c r="R4" t="n">
        <v>2700</v>
      </c>
      <c r="S4" t="n">
        <v>30</v>
      </c>
      <c r="T4" t="inlineStr">
        <is>
          <t>121027193814</t>
        </is>
      </c>
      <c r="U4" t="n">
        <v>161.49</v>
      </c>
      <c r="V4" t="n">
        <v>161.49</v>
      </c>
      <c r="W4" t="inlineStr">
        <is>
          <t>020506754152</t>
        </is>
      </c>
      <c r="X4" t="n">
        <v>455.68</v>
      </c>
      <c r="Y4" t="n">
        <v>455.68</v>
      </c>
      <c r="Z4" t="n">
        <v>1763.86</v>
      </c>
      <c r="AA4" t="n">
        <v>1501.14</v>
      </c>
      <c r="AB4" t="n">
        <v>2</v>
      </c>
      <c r="AD4" t="inlineStr">
        <is>
          <t>08-Mar-10</t>
        </is>
      </c>
      <c r="AE4" t="inlineStr">
        <is>
          <t>7211979-3</t>
        </is>
      </c>
    </row>
    <row r="5">
      <c r="A5" t="inlineStr">
        <is>
          <t>26984</t>
        </is>
      </c>
      <c r="B5" t="inlineStr">
        <is>
          <t>16-May-26</t>
        </is>
      </c>
      <c r="C5" t="inlineStr">
        <is>
          <t>15-Jun-26</t>
        </is>
      </c>
      <c r="D5" t="inlineStr">
        <is>
          <t>01235</t>
        </is>
      </c>
      <c r="E5" t="inlineStr">
        <is>
          <t>BESTANK HEAD OFFICE - GENERAL ADMIN</t>
        </is>
      </c>
      <c r="F5" t="inlineStr">
        <is>
          <t>12242</t>
        </is>
      </c>
      <c r="G5" t="inlineStr">
        <is>
          <t>CORDERO</t>
        </is>
      </c>
      <c r="H5" t="inlineStr">
        <is>
          <t>KYEZELLE AMOR</t>
        </is>
      </c>
      <c r="I5" t="inlineStr">
        <is>
          <t>ANGELES</t>
        </is>
      </c>
      <c r="K5" t="inlineStr">
        <is>
          <t>11-Jan-99</t>
        </is>
      </c>
      <c r="L5" t="n">
        <v>700</v>
      </c>
      <c r="M5" t="n">
        <v>0</v>
      </c>
      <c r="N5" t="inlineStr">
        <is>
          <t>3498914022</t>
        </is>
      </c>
      <c r="O5" t="n">
        <v>813.5700000000001</v>
      </c>
      <c r="P5" t="n">
        <v>800</v>
      </c>
      <c r="Q5" t="n">
        <v>1600</v>
      </c>
      <c r="R5" t="n">
        <v>2400</v>
      </c>
      <c r="S5" t="n">
        <v>30</v>
      </c>
      <c r="T5" t="inlineStr">
        <is>
          <t>121279412910</t>
        </is>
      </c>
      <c r="U5" t="n">
        <v>180.72</v>
      </c>
      <c r="V5" t="n">
        <v>180.72</v>
      </c>
      <c r="W5" t="inlineStr">
        <is>
          <t>210257466560</t>
        </is>
      </c>
      <c r="X5" t="n">
        <v>411.25</v>
      </c>
      <c r="Y5" t="n">
        <v>411.25</v>
      </c>
      <c r="Z5" t="n">
        <v>0</v>
      </c>
      <c r="AA5" t="n">
        <v>0</v>
      </c>
      <c r="AB5" t="n">
        <v>2</v>
      </c>
      <c r="AC5" t="inlineStr">
        <is>
          <t>391-021-642-000</t>
        </is>
      </c>
      <c r="AD5" t="inlineStr">
        <is>
          <t>02-Dec-24</t>
        </is>
      </c>
      <c r="AE5" t="inlineStr">
        <is>
          <t>1111999-3</t>
        </is>
      </c>
      <c r="AF5" t="inlineStr">
        <is>
          <t>RETAIL ACCOUNT EXECUTIVE</t>
        </is>
      </c>
    </row>
    <row r="6">
      <c r="A6" t="inlineStr">
        <is>
          <t>26881</t>
        </is>
      </c>
      <c r="B6" t="inlineStr">
        <is>
          <t>16-May-26</t>
        </is>
      </c>
      <c r="C6" t="inlineStr">
        <is>
          <t>31-May-26</t>
        </is>
      </c>
      <c r="D6" t="inlineStr">
        <is>
          <t>01233</t>
        </is>
      </c>
      <c r="E6" t="inlineStr">
        <is>
          <t>PRODUCTION-BESTANK/TASMAN</t>
        </is>
      </c>
      <c r="F6" t="inlineStr">
        <is>
          <t>11112</t>
        </is>
      </c>
      <c r="G6" t="inlineStr">
        <is>
          <t>ECAT</t>
        </is>
      </c>
      <c r="H6" t="inlineStr">
        <is>
          <t>FRANCES JOYCE DOYENN</t>
        </is>
      </c>
      <c r="I6" t="inlineStr">
        <is>
          <t>SARONA</t>
        </is>
      </c>
      <c r="K6" t="inlineStr">
        <is>
          <t>06-Jun-01</t>
        </is>
      </c>
      <c r="L6" t="n">
        <v>695</v>
      </c>
      <c r="M6" t="n">
        <v>0</v>
      </c>
      <c r="N6" t="inlineStr">
        <is>
          <t>3514727012</t>
        </is>
      </c>
      <c r="O6" t="n">
        <v>69.23999999999999</v>
      </c>
      <c r="P6" t="n">
        <v>0</v>
      </c>
      <c r="Q6" t="n">
        <v>0</v>
      </c>
      <c r="R6" t="n">
        <v>0</v>
      </c>
      <c r="S6" t="n">
        <v>0</v>
      </c>
      <c r="T6" t="inlineStr">
        <is>
          <t>121374756422</t>
        </is>
      </c>
      <c r="U6" t="n">
        <v>15.38</v>
      </c>
      <c r="V6" t="n">
        <v>15.38</v>
      </c>
      <c r="W6" t="inlineStr">
        <is>
          <t>020278925618</t>
        </is>
      </c>
      <c r="X6" t="n">
        <v>125</v>
      </c>
      <c r="Y6" t="n">
        <v>125</v>
      </c>
      <c r="Z6" t="n">
        <v>0</v>
      </c>
      <c r="AA6" t="n">
        <v>0</v>
      </c>
      <c r="AB6" t="n">
        <v>1</v>
      </c>
      <c r="AD6" t="inlineStr">
        <is>
          <t>16-Oct-25</t>
        </is>
      </c>
      <c r="AE6" t="inlineStr">
        <is>
          <t>662001-2</t>
        </is>
      </c>
      <c r="AF6" t="inlineStr">
        <is>
          <t>PRODUCTION WELD</t>
        </is>
      </c>
    </row>
    <row r="7">
      <c r="A7" t="inlineStr">
        <is>
          <t>26984</t>
        </is>
      </c>
      <c r="B7" t="inlineStr">
        <is>
          <t>16-May-26</t>
        </is>
      </c>
      <c r="C7" t="inlineStr">
        <is>
          <t>15-Jun-26</t>
        </is>
      </c>
      <c r="D7" t="inlineStr">
        <is>
          <t>01234</t>
        </is>
      </c>
      <c r="E7" t="inlineStr">
        <is>
          <t>BESTANK OFFICE - OPERATING</t>
        </is>
      </c>
      <c r="F7" t="inlineStr">
        <is>
          <t>02272</t>
        </is>
      </c>
      <c r="G7" t="inlineStr">
        <is>
          <t>FORTES</t>
        </is>
      </c>
      <c r="H7" t="inlineStr">
        <is>
          <t>JOLLIENA</t>
        </is>
      </c>
      <c r="I7" t="inlineStr">
        <is>
          <t>MACASOJOT</t>
        </is>
      </c>
      <c r="K7" t="inlineStr">
        <is>
          <t>19-Mar-99</t>
        </is>
      </c>
      <c r="L7" t="n">
        <v>735.48</v>
      </c>
      <c r="M7" t="n">
        <v>0</v>
      </c>
      <c r="N7" t="inlineStr">
        <is>
          <t>3474859318</t>
        </is>
      </c>
      <c r="O7" t="n">
        <v>693.16</v>
      </c>
      <c r="P7" t="n">
        <v>675</v>
      </c>
      <c r="Q7" t="n">
        <v>1350</v>
      </c>
      <c r="R7" t="n">
        <v>2025</v>
      </c>
      <c r="S7" t="n">
        <v>10</v>
      </c>
      <c r="T7" t="inlineStr">
        <is>
          <t>121246473738</t>
        </is>
      </c>
      <c r="U7" t="n">
        <v>145.88</v>
      </c>
      <c r="V7" t="n">
        <v>145.88</v>
      </c>
      <c r="W7" t="inlineStr">
        <is>
          <t>022530600932</t>
        </is>
      </c>
      <c r="X7" t="n">
        <v>348.8</v>
      </c>
      <c r="Y7" t="n">
        <v>348.8</v>
      </c>
      <c r="Z7" t="n">
        <v>0</v>
      </c>
      <c r="AA7" t="n">
        <v>0</v>
      </c>
      <c r="AB7" t="n">
        <v>2</v>
      </c>
      <c r="AC7" t="inlineStr">
        <is>
          <t>608-653-664-000</t>
        </is>
      </c>
      <c r="AD7" t="inlineStr">
        <is>
          <t>08-Feb-23</t>
        </is>
      </c>
      <c r="AE7" t="inlineStr">
        <is>
          <t>3191999-3</t>
        </is>
      </c>
      <c r="AF7" t="inlineStr">
        <is>
          <t>WAREHOUSE STAFF</t>
        </is>
      </c>
    </row>
    <row r="8">
      <c r="A8" t="inlineStr">
        <is>
          <t>26984</t>
        </is>
      </c>
      <c r="B8" t="inlineStr">
        <is>
          <t>16-May-26</t>
        </is>
      </c>
      <c r="C8" t="inlineStr">
        <is>
          <t>15-Jun-26</t>
        </is>
      </c>
      <c r="D8" t="inlineStr">
        <is>
          <t>01233</t>
        </is>
      </c>
      <c r="E8" t="inlineStr">
        <is>
          <t>PRODUCTION-BESTANK/TASMAN</t>
        </is>
      </c>
      <c r="F8" t="inlineStr">
        <is>
          <t>11112</t>
        </is>
      </c>
      <c r="G8" t="inlineStr">
        <is>
          <t>FRANCISCO JR</t>
        </is>
      </c>
      <c r="H8" t="inlineStr">
        <is>
          <t>JONATHAN</t>
        </is>
      </c>
      <c r="I8" t="inlineStr">
        <is>
          <t>GUMIA</t>
        </is>
      </c>
      <c r="K8" t="inlineStr">
        <is>
          <t>20-Dec-02</t>
        </is>
      </c>
      <c r="L8" t="n">
        <v>695</v>
      </c>
      <c r="M8" t="n">
        <v>0</v>
      </c>
      <c r="N8" t="inlineStr">
        <is>
          <t>0251371216</t>
        </is>
      </c>
      <c r="O8" t="n">
        <v>830.88</v>
      </c>
      <c r="P8" t="n">
        <v>825</v>
      </c>
      <c r="Q8" t="n">
        <v>1650</v>
      </c>
      <c r="R8" t="n">
        <v>2475</v>
      </c>
      <c r="S8" t="n">
        <v>30</v>
      </c>
      <c r="T8" t="inlineStr">
        <is>
          <t>121374451700</t>
        </is>
      </c>
      <c r="U8" t="n">
        <v>184.56</v>
      </c>
      <c r="V8" t="n">
        <v>184.56</v>
      </c>
      <c r="W8" t="inlineStr">
        <is>
          <t>030272166605</t>
        </is>
      </c>
      <c r="X8" t="n">
        <v>417</v>
      </c>
      <c r="Y8" t="n">
        <v>417</v>
      </c>
      <c r="Z8" t="n">
        <v>0</v>
      </c>
      <c r="AA8" t="n">
        <v>0</v>
      </c>
      <c r="AB8" t="n">
        <v>2</v>
      </c>
      <c r="AD8" t="inlineStr">
        <is>
          <t>16-Oct-25</t>
        </is>
      </c>
      <c r="AE8" t="inlineStr">
        <is>
          <t>12202002-2</t>
        </is>
      </c>
      <c r="AF8" t="inlineStr">
        <is>
          <t>WELDER</t>
        </is>
      </c>
    </row>
    <row r="9">
      <c r="A9" t="inlineStr">
        <is>
          <t>26984</t>
        </is>
      </c>
      <c r="B9" t="inlineStr">
        <is>
          <t>16-May-26</t>
        </is>
      </c>
      <c r="C9" t="inlineStr">
        <is>
          <t>15-Jun-26</t>
        </is>
      </c>
      <c r="D9" t="inlineStr">
        <is>
          <t>01235</t>
        </is>
      </c>
      <c r="E9" t="inlineStr">
        <is>
          <t>BESTANK HEAD OFFICE - GENERAL ADMIN</t>
        </is>
      </c>
      <c r="F9" t="inlineStr">
        <is>
          <t>03252</t>
        </is>
      </c>
      <c r="G9" t="inlineStr">
        <is>
          <t>GARCIA</t>
        </is>
      </c>
      <c r="H9" t="inlineStr">
        <is>
          <t>DANIELLA MAY</t>
        </is>
      </c>
      <c r="I9" t="inlineStr">
        <is>
          <t>SOPLITO</t>
        </is>
      </c>
      <c r="K9" t="inlineStr">
        <is>
          <t>12-Dec-98</t>
        </is>
      </c>
      <c r="L9" t="n">
        <v>695</v>
      </c>
      <c r="M9" t="n">
        <v>0</v>
      </c>
      <c r="N9" t="inlineStr">
        <is>
          <t>3467578062</t>
        </is>
      </c>
      <c r="O9" t="n">
        <v>774.45</v>
      </c>
      <c r="P9" t="n">
        <v>750</v>
      </c>
      <c r="Q9" t="n">
        <v>1500</v>
      </c>
      <c r="R9" t="n">
        <v>2250</v>
      </c>
      <c r="S9" t="n">
        <v>30</v>
      </c>
      <c r="T9" t="inlineStr">
        <is>
          <t>121282395713</t>
        </is>
      </c>
      <c r="U9" t="n">
        <v>172.02</v>
      </c>
      <c r="V9" t="n">
        <v>172.02</v>
      </c>
      <c r="W9" t="inlineStr">
        <is>
          <t>022539991217</t>
        </is>
      </c>
      <c r="X9" t="n">
        <v>388.68</v>
      </c>
      <c r="Y9" t="n">
        <v>388.68</v>
      </c>
      <c r="Z9" t="n">
        <v>0</v>
      </c>
      <c r="AA9" t="n">
        <v>0</v>
      </c>
      <c r="AB9" t="n">
        <v>2</v>
      </c>
      <c r="AC9" t="inlineStr">
        <is>
          <t>611667109-000</t>
        </is>
      </c>
      <c r="AD9" t="inlineStr">
        <is>
          <t>07-Mar-25</t>
        </is>
      </c>
      <c r="AE9" t="inlineStr">
        <is>
          <t>12121998-3</t>
        </is>
      </c>
      <c r="AF9" t="inlineStr">
        <is>
          <t>RETAIL ACCOUNT EXECUTIVE</t>
        </is>
      </c>
    </row>
    <row r="10">
      <c r="A10" t="inlineStr">
        <is>
          <t>26984</t>
        </is>
      </c>
      <c r="B10" t="inlineStr">
        <is>
          <t>16-May-26</t>
        </is>
      </c>
      <c r="C10" t="inlineStr">
        <is>
          <t>15-Jun-26</t>
        </is>
      </c>
      <c r="D10" t="inlineStr">
        <is>
          <t>01235</t>
        </is>
      </c>
      <c r="E10" t="inlineStr">
        <is>
          <t>BESTANK HEAD OFFICE - GENERAL ADMIN</t>
        </is>
      </c>
      <c r="F10" t="inlineStr">
        <is>
          <t>01262</t>
        </is>
      </c>
      <c r="G10" t="inlineStr">
        <is>
          <t>GIGANTE</t>
        </is>
      </c>
      <c r="H10" t="inlineStr">
        <is>
          <t>ELIZABETH</t>
        </is>
      </c>
      <c r="I10" t="inlineStr">
        <is>
          <t>MAGBOO</t>
        </is>
      </c>
      <c r="K10" t="inlineStr">
        <is>
          <t>17-Jul-97</t>
        </is>
      </c>
      <c r="L10" t="n">
        <v>709.62</v>
      </c>
      <c r="M10" t="n">
        <v>0</v>
      </c>
      <c r="N10" t="inlineStr">
        <is>
          <t>3491444816</t>
        </is>
      </c>
      <c r="O10" t="n">
        <v>741.49</v>
      </c>
      <c r="P10" t="n">
        <v>725</v>
      </c>
      <c r="Q10" t="n">
        <v>1450</v>
      </c>
      <c r="R10" t="n">
        <v>2175</v>
      </c>
      <c r="S10" t="n">
        <v>10</v>
      </c>
      <c r="T10" t="inlineStr">
        <is>
          <t>121266467840</t>
        </is>
      </c>
      <c r="U10" t="n">
        <v>160.26</v>
      </c>
      <c r="V10" t="n">
        <v>160.26</v>
      </c>
      <c r="W10" t="inlineStr">
        <is>
          <t>102520119687</t>
        </is>
      </c>
      <c r="X10" t="n">
        <v>369.71</v>
      </c>
      <c r="Y10" t="n">
        <v>369.71</v>
      </c>
      <c r="Z10" t="n">
        <v>0</v>
      </c>
      <c r="AA10" t="n">
        <v>804.12</v>
      </c>
      <c r="AB10" t="n">
        <v>2</v>
      </c>
      <c r="AD10" t="inlineStr">
        <is>
          <t>07-Jan-23</t>
        </is>
      </c>
      <c r="AE10" t="inlineStr">
        <is>
          <t>7171997-3</t>
        </is>
      </c>
      <c r="AF10" t="inlineStr">
        <is>
          <t>RETAIL ACCOUNT EXECUTIVE</t>
        </is>
      </c>
    </row>
    <row r="11">
      <c r="A11" t="inlineStr">
        <is>
          <t>26984</t>
        </is>
      </c>
      <c r="B11" t="inlineStr">
        <is>
          <t>16-May-26</t>
        </is>
      </c>
      <c r="C11" t="inlineStr">
        <is>
          <t>15-Jun-26</t>
        </is>
      </c>
      <c r="D11" t="inlineStr">
        <is>
          <t>01235</t>
        </is>
      </c>
      <c r="E11" t="inlineStr">
        <is>
          <t>BESTANK HEAD OFFICE - GENERAL ADMIN</t>
        </is>
      </c>
      <c r="F11" t="inlineStr">
        <is>
          <t>12112</t>
        </is>
      </c>
      <c r="G11" t="inlineStr">
        <is>
          <t>GUEVARRA</t>
        </is>
      </c>
      <c r="H11" t="inlineStr">
        <is>
          <t>JASON</t>
        </is>
      </c>
      <c r="I11" t="inlineStr">
        <is>
          <t>ORIOSA</t>
        </is>
      </c>
      <c r="K11" t="inlineStr">
        <is>
          <t>10-May-02</t>
        </is>
      </c>
      <c r="L11" t="n">
        <v>695</v>
      </c>
      <c r="M11" t="n">
        <v>0</v>
      </c>
      <c r="N11" t="inlineStr">
        <is>
          <t>3540802626</t>
        </is>
      </c>
      <c r="O11" t="n">
        <v>969.36</v>
      </c>
      <c r="P11" t="n">
        <v>950</v>
      </c>
      <c r="Q11" t="n">
        <v>1900</v>
      </c>
      <c r="R11" t="n">
        <v>2850</v>
      </c>
      <c r="S11" t="n">
        <v>30</v>
      </c>
      <c r="T11" t="inlineStr">
        <is>
          <t>121290716296</t>
        </is>
      </c>
      <c r="U11" t="n">
        <v>215.32</v>
      </c>
      <c r="V11" t="n">
        <v>215.32</v>
      </c>
      <c r="W11" t="inlineStr">
        <is>
          <t>020278934072</t>
        </is>
      </c>
      <c r="X11" t="n">
        <v>486.51</v>
      </c>
      <c r="Y11" t="n">
        <v>486.51</v>
      </c>
      <c r="Z11" t="n">
        <v>0</v>
      </c>
      <c r="AA11" t="n">
        <v>0</v>
      </c>
      <c r="AB11" t="n">
        <v>2</v>
      </c>
      <c r="AC11" t="inlineStr">
        <is>
          <t>687748291-000</t>
        </is>
      </c>
      <c r="AD11" t="inlineStr">
        <is>
          <t>26-Nov-25</t>
        </is>
      </c>
      <c r="AE11" t="inlineStr">
        <is>
          <t>5102002-3</t>
        </is>
      </c>
      <c r="AF11" t="inlineStr">
        <is>
          <t>PRODUCTION WELDER</t>
        </is>
      </c>
    </row>
    <row r="12">
      <c r="A12" t="inlineStr">
        <is>
          <t>26984</t>
        </is>
      </c>
      <c r="B12" t="inlineStr">
        <is>
          <t>16-May-26</t>
        </is>
      </c>
      <c r="C12" t="inlineStr">
        <is>
          <t>15-Jun-26</t>
        </is>
      </c>
      <c r="D12" t="inlineStr">
        <is>
          <t>00275</t>
        </is>
      </c>
      <c r="E12" t="inlineStr">
        <is>
          <t>BESTANK-DAGUPAN/ILOCOS/LA UNION</t>
        </is>
      </c>
      <c r="F12" t="inlineStr">
        <is>
          <t>98681</t>
        </is>
      </c>
      <c r="G12" t="inlineStr">
        <is>
          <t>MANECLANG</t>
        </is>
      </c>
      <c r="H12" t="inlineStr">
        <is>
          <t>MICHAEL</t>
        </is>
      </c>
      <c r="I12" t="inlineStr">
        <is>
          <t>RELOZA</t>
        </is>
      </c>
      <c r="K12" t="inlineStr">
        <is>
          <t>05-Jun-88</t>
        </is>
      </c>
      <c r="L12" t="n">
        <v>505</v>
      </c>
      <c r="M12" t="n">
        <v>601.5700000000001</v>
      </c>
      <c r="N12" t="inlineStr">
        <is>
          <t>0225189311</t>
        </is>
      </c>
      <c r="O12" t="n">
        <v>364.75</v>
      </c>
      <c r="P12" t="n">
        <v>350</v>
      </c>
      <c r="Q12" t="n">
        <v>700</v>
      </c>
      <c r="R12" t="n">
        <v>1050</v>
      </c>
      <c r="S12" t="n">
        <v>10</v>
      </c>
      <c r="T12" t="inlineStr">
        <is>
          <t>121027771942</t>
        </is>
      </c>
      <c r="U12" t="n">
        <v>112.19</v>
      </c>
      <c r="V12" t="n">
        <v>112.19</v>
      </c>
      <c r="W12" t="inlineStr">
        <is>
          <t>040500834651</t>
        </is>
      </c>
      <c r="X12" t="n">
        <v>250</v>
      </c>
      <c r="Y12" t="n">
        <v>250</v>
      </c>
      <c r="Z12" t="n">
        <v>0</v>
      </c>
      <c r="AA12" t="n">
        <v>0</v>
      </c>
      <c r="AB12" t="n">
        <v>2</v>
      </c>
      <c r="AD12" t="inlineStr">
        <is>
          <t>23-Aug-16</t>
        </is>
      </c>
      <c r="AE12" t="inlineStr">
        <is>
          <t>651988-2</t>
        </is>
      </c>
      <c r="AF12" t="inlineStr">
        <is>
          <t>SALES REPRESENT</t>
        </is>
      </c>
    </row>
    <row r="13">
      <c r="A13" t="inlineStr">
        <is>
          <t>26984</t>
        </is>
      </c>
      <c r="B13" t="inlineStr">
        <is>
          <t>16-May-26</t>
        </is>
      </c>
      <c r="C13" t="inlineStr">
        <is>
          <t>15-Jun-26</t>
        </is>
      </c>
      <c r="D13" t="inlineStr">
        <is>
          <t>01235</t>
        </is>
      </c>
      <c r="E13" t="inlineStr">
        <is>
          <t>BESTANK HEAD OFFICE - GENERAL ADMIN</t>
        </is>
      </c>
      <c r="F13" t="inlineStr">
        <is>
          <t>83112</t>
        </is>
      </c>
      <c r="G13" t="inlineStr">
        <is>
          <t>MANGAZAR</t>
        </is>
      </c>
      <c r="H13" t="inlineStr">
        <is>
          <t>GLENABEL</t>
        </is>
      </c>
      <c r="I13" t="inlineStr">
        <is>
          <t>TRAMBULO</t>
        </is>
      </c>
      <c r="K13" t="inlineStr">
        <is>
          <t>02-May-91</t>
        </is>
      </c>
      <c r="L13" t="n">
        <v>887.02</v>
      </c>
      <c r="M13" t="n">
        <v>690.45</v>
      </c>
      <c r="N13" t="inlineStr">
        <is>
          <t>3445807713</t>
        </is>
      </c>
      <c r="O13" t="n">
        <v>1061.52</v>
      </c>
      <c r="P13" t="n">
        <v>1000</v>
      </c>
      <c r="Q13" t="n">
        <v>2000</v>
      </c>
      <c r="R13" t="n">
        <v>3000</v>
      </c>
      <c r="S13" t="n">
        <v>30</v>
      </c>
      <c r="T13" t="inlineStr">
        <is>
          <t>121140750894</t>
        </is>
      </c>
      <c r="U13" t="n">
        <v>184.56</v>
      </c>
      <c r="V13" t="n">
        <v>184.56</v>
      </c>
      <c r="W13" t="inlineStr">
        <is>
          <t>020264576963</t>
        </is>
      </c>
      <c r="X13" t="n">
        <v>532.22</v>
      </c>
      <c r="Y13" t="n">
        <v>532.22</v>
      </c>
      <c r="Z13" t="n">
        <v>1222.56</v>
      </c>
      <c r="AA13" t="n">
        <v>1711.93</v>
      </c>
      <c r="AB13" t="n">
        <v>2</v>
      </c>
      <c r="AC13" t="inlineStr">
        <is>
          <t>453-568-035-000</t>
        </is>
      </c>
      <c r="AD13" t="inlineStr">
        <is>
          <t>27-Mar-15</t>
        </is>
      </c>
      <c r="AE13" t="inlineStr">
        <is>
          <t>521991-3</t>
        </is>
      </c>
      <c r="AF13" t="inlineStr">
        <is>
          <t>EXECUTIVE ASSIS</t>
        </is>
      </c>
    </row>
    <row r="14">
      <c r="A14" t="inlineStr">
        <is>
          <t>26984</t>
        </is>
      </c>
      <c r="B14" t="inlineStr">
        <is>
          <t>16-May-26</t>
        </is>
      </c>
      <c r="C14" t="inlineStr">
        <is>
          <t>15-Jun-26</t>
        </is>
      </c>
      <c r="D14" t="inlineStr">
        <is>
          <t>01235</t>
        </is>
      </c>
      <c r="E14" t="inlineStr">
        <is>
          <t>BESTANK HEAD OFFICE - GENERAL ADMIN</t>
        </is>
      </c>
      <c r="F14" t="inlineStr">
        <is>
          <t>02252</t>
        </is>
      </c>
      <c r="G14" t="inlineStr">
        <is>
          <t>MASCARDO</t>
        </is>
      </c>
      <c r="H14" t="inlineStr">
        <is>
          <t>HERSHEY</t>
        </is>
      </c>
      <c r="I14" t="inlineStr">
        <is>
          <t>DELA CRUZ</t>
        </is>
      </c>
      <c r="K14" t="inlineStr">
        <is>
          <t>28-Jan-03</t>
        </is>
      </c>
      <c r="L14" t="n">
        <v>695</v>
      </c>
      <c r="M14" t="n">
        <v>0</v>
      </c>
      <c r="N14" t="inlineStr">
        <is>
          <t>3513447526</t>
        </is>
      </c>
      <c r="O14" t="n">
        <v>588.54</v>
      </c>
      <c r="P14" t="n">
        <v>575</v>
      </c>
      <c r="Q14" t="n">
        <v>1150</v>
      </c>
      <c r="R14" t="n">
        <v>1725</v>
      </c>
      <c r="S14" t="n">
        <v>10</v>
      </c>
      <c r="T14" t="inlineStr">
        <is>
          <t>121303176250</t>
        </is>
      </c>
      <c r="U14" t="n">
        <v>130.73</v>
      </c>
      <c r="V14" t="n">
        <v>130.73</v>
      </c>
      <c r="W14" t="inlineStr">
        <is>
          <t>22540439250</t>
        </is>
      </c>
      <c r="X14" t="n">
        <v>316.13</v>
      </c>
      <c r="Y14" t="n">
        <v>316.13</v>
      </c>
      <c r="Z14" t="n">
        <v>0</v>
      </c>
      <c r="AA14" t="n">
        <v>0</v>
      </c>
      <c r="AB14" t="n">
        <v>2</v>
      </c>
      <c r="AC14" t="inlineStr">
        <is>
          <t>511704200-000</t>
        </is>
      </c>
      <c r="AD14" t="inlineStr">
        <is>
          <t>05-Feb-26</t>
        </is>
      </c>
      <c r="AE14" t="inlineStr">
        <is>
          <t>1282003-3</t>
        </is>
      </c>
      <c r="AF14" t="inlineStr">
        <is>
          <t>RETAIL ACCOUNT EXECUTIVE</t>
        </is>
      </c>
    </row>
    <row r="15">
      <c r="A15" t="inlineStr">
        <is>
          <t>26984</t>
        </is>
      </c>
      <c r="B15" t="inlineStr">
        <is>
          <t>16-May-26</t>
        </is>
      </c>
      <c r="C15" t="inlineStr">
        <is>
          <t>15-Jun-26</t>
        </is>
      </c>
      <c r="D15" t="inlineStr">
        <is>
          <t>01233</t>
        </is>
      </c>
      <c r="E15" t="inlineStr">
        <is>
          <t>PRODUCTION-BESTANK/TASMAN</t>
        </is>
      </c>
      <c r="F15" t="inlineStr">
        <is>
          <t>09282</t>
        </is>
      </c>
      <c r="G15" t="inlineStr">
        <is>
          <t>MENDOZA</t>
        </is>
      </c>
      <c r="H15" t="inlineStr">
        <is>
          <t>EAJAY</t>
        </is>
      </c>
      <c r="I15" t="inlineStr">
        <is>
          <t>PURA</t>
        </is>
      </c>
      <c r="K15" t="inlineStr">
        <is>
          <t>26-May-95</t>
        </is>
      </c>
      <c r="L15" t="n">
        <v>695</v>
      </c>
      <c r="M15" t="n">
        <v>0</v>
      </c>
      <c r="N15" t="inlineStr">
        <is>
          <t>3470988034</t>
        </is>
      </c>
      <c r="O15" t="n">
        <v>793.3200000000001</v>
      </c>
      <c r="P15" t="n">
        <v>775</v>
      </c>
      <c r="Q15" t="n">
        <v>1550</v>
      </c>
      <c r="R15" t="n">
        <v>2325</v>
      </c>
      <c r="S15" t="n">
        <v>30</v>
      </c>
      <c r="T15" t="inlineStr">
        <is>
          <t>121293935372</t>
        </is>
      </c>
      <c r="U15" t="n">
        <v>176.22</v>
      </c>
      <c r="V15" t="n">
        <v>176.22</v>
      </c>
      <c r="W15" t="inlineStr">
        <is>
          <t>020271566043</t>
        </is>
      </c>
      <c r="X15" t="n">
        <v>398.15</v>
      </c>
      <c r="Y15" t="n">
        <v>398.15</v>
      </c>
      <c r="Z15" t="n">
        <v>1237.39</v>
      </c>
      <c r="AA15" t="n">
        <v>717.3099999999999</v>
      </c>
      <c r="AB15" t="n">
        <v>2</v>
      </c>
      <c r="AC15" t="inlineStr">
        <is>
          <t>379-531-760-000</t>
        </is>
      </c>
      <c r="AD15" t="inlineStr">
        <is>
          <t>06-Sep-22</t>
        </is>
      </c>
      <c r="AE15" t="inlineStr">
        <is>
          <t>5261995-3</t>
        </is>
      </c>
      <c r="AF15" t="inlineStr">
        <is>
          <t>WELDER</t>
        </is>
      </c>
    </row>
    <row r="16">
      <c r="A16" t="inlineStr">
        <is>
          <t>26984</t>
        </is>
      </c>
      <c r="B16" t="inlineStr">
        <is>
          <t>16-May-26</t>
        </is>
      </c>
      <c r="C16" t="inlineStr">
        <is>
          <t>15-Jun-26</t>
        </is>
      </c>
      <c r="D16" t="inlineStr">
        <is>
          <t>01234</t>
        </is>
      </c>
      <c r="E16" t="inlineStr">
        <is>
          <t>BESTANK OFFICE - OPERATING</t>
        </is>
      </c>
      <c r="F16" t="inlineStr">
        <is>
          <t>84459</t>
        </is>
      </c>
      <c r="G16" t="inlineStr">
        <is>
          <t>MONTEMAYOR</t>
        </is>
      </c>
      <c r="H16" t="inlineStr">
        <is>
          <t>MICHAEL</t>
        </is>
      </c>
      <c r="I16" t="inlineStr">
        <is>
          <t>FLORES</t>
        </is>
      </c>
      <c r="K16" t="inlineStr">
        <is>
          <t>20-Jan-74</t>
        </is>
      </c>
      <c r="L16" t="n">
        <v>570.4400000000001</v>
      </c>
      <c r="M16" t="n">
        <v>0</v>
      </c>
      <c r="N16" t="inlineStr">
        <is>
          <t>3346339254</t>
        </is>
      </c>
      <c r="O16" t="n">
        <v>663.55</v>
      </c>
      <c r="P16" t="n">
        <v>650</v>
      </c>
      <c r="Q16" t="n">
        <v>1300</v>
      </c>
      <c r="R16" t="n">
        <v>1950</v>
      </c>
      <c r="S16" t="n">
        <v>10</v>
      </c>
      <c r="T16" t="inlineStr">
        <is>
          <t>106001993408</t>
        </is>
      </c>
      <c r="U16" t="n">
        <v>176.87</v>
      </c>
      <c r="V16" t="n">
        <v>176.87</v>
      </c>
      <c r="W16" t="inlineStr">
        <is>
          <t>050500254332</t>
        </is>
      </c>
      <c r="X16" t="n">
        <v>328</v>
      </c>
      <c r="Y16" t="n">
        <v>328</v>
      </c>
      <c r="Z16" t="n">
        <v>0</v>
      </c>
      <c r="AA16" t="n">
        <v>0</v>
      </c>
      <c r="AB16" t="n">
        <v>2</v>
      </c>
      <c r="AC16" t="inlineStr">
        <is>
          <t>146-855-781-000</t>
        </is>
      </c>
      <c r="AD16" t="inlineStr">
        <is>
          <t>05-Sep-06</t>
        </is>
      </c>
      <c r="AE16" t="inlineStr">
        <is>
          <t>1201974-3</t>
        </is>
      </c>
      <c r="AF16" t="inlineStr">
        <is>
          <t>SALES AGENT</t>
        </is>
      </c>
    </row>
    <row r="17">
      <c r="A17" t="inlineStr">
        <is>
          <t>26984</t>
        </is>
      </c>
      <c r="B17" t="inlineStr">
        <is>
          <t>16-May-26</t>
        </is>
      </c>
      <c r="C17" t="inlineStr">
        <is>
          <t>15-Jun-26</t>
        </is>
      </c>
      <c r="D17" t="inlineStr">
        <is>
          <t>01234</t>
        </is>
      </c>
      <c r="E17" t="inlineStr">
        <is>
          <t>BESTANK OFFICE - OPERATING</t>
        </is>
      </c>
      <c r="F17" t="inlineStr">
        <is>
          <t>03262</t>
        </is>
      </c>
      <c r="G17" t="inlineStr">
        <is>
          <t>PLAZA</t>
        </is>
      </c>
      <c r="H17" t="inlineStr">
        <is>
          <t>JOVEN</t>
        </is>
      </c>
      <c r="I17" t="inlineStr">
        <is>
          <t>HILONGO</t>
        </is>
      </c>
      <c r="K17" t="inlineStr">
        <is>
          <t>23-Apr-94</t>
        </is>
      </c>
      <c r="L17" t="n">
        <v>705</v>
      </c>
      <c r="M17" t="n">
        <v>0</v>
      </c>
      <c r="N17" t="inlineStr">
        <is>
          <t>3441441319</t>
        </is>
      </c>
      <c r="O17" t="n">
        <v>492.07</v>
      </c>
      <c r="P17" t="n">
        <v>475</v>
      </c>
      <c r="Q17" t="n">
        <v>950</v>
      </c>
      <c r="R17" t="n">
        <v>1425</v>
      </c>
      <c r="S17" t="n">
        <v>10</v>
      </c>
      <c r="T17" t="inlineStr">
        <is>
          <t>121121739647</t>
        </is>
      </c>
      <c r="U17" t="n">
        <v>106.35</v>
      </c>
      <c r="V17" t="n">
        <v>106.35</v>
      </c>
      <c r="W17" t="inlineStr">
        <is>
          <t>020510778562</t>
        </is>
      </c>
      <c r="X17" t="n">
        <v>243.76</v>
      </c>
      <c r="Y17" t="n">
        <v>243.76</v>
      </c>
      <c r="Z17" t="n">
        <v>1316.03</v>
      </c>
      <c r="AA17" t="n">
        <v>960.42</v>
      </c>
      <c r="AB17" t="n">
        <v>2</v>
      </c>
      <c r="AD17" t="inlineStr">
        <is>
          <t>04-Mar-21</t>
        </is>
      </c>
      <c r="AE17" t="inlineStr">
        <is>
          <t>4231994-3</t>
        </is>
      </c>
      <c r="AF17" t="inlineStr">
        <is>
          <t>WAREHOUSE PICKE</t>
        </is>
      </c>
    </row>
    <row r="18">
      <c r="A18" t="inlineStr">
        <is>
          <t>26984</t>
        </is>
      </c>
      <c r="B18" t="inlineStr">
        <is>
          <t>16-May-26</t>
        </is>
      </c>
      <c r="C18" t="inlineStr">
        <is>
          <t>15-Jun-26</t>
        </is>
      </c>
      <c r="D18" t="inlineStr">
        <is>
          <t>01235</t>
        </is>
      </c>
      <c r="E18" t="inlineStr">
        <is>
          <t>BESTANK HEAD OFFICE - GENERAL ADMIN</t>
        </is>
      </c>
      <c r="F18" t="inlineStr">
        <is>
          <t>05112</t>
        </is>
      </c>
      <c r="G18" t="inlineStr">
        <is>
          <t>RANES</t>
        </is>
      </c>
      <c r="H18" t="inlineStr">
        <is>
          <t>AINAH MARIE</t>
        </is>
      </c>
      <c r="I18" t="inlineStr">
        <is>
          <t>MACAPAGAL</t>
        </is>
      </c>
      <c r="K18" t="inlineStr">
        <is>
          <t>15-Sep-00</t>
        </is>
      </c>
      <c r="L18" t="n">
        <v>695</v>
      </c>
      <c r="M18" t="n">
        <v>0</v>
      </c>
      <c r="N18" t="inlineStr">
        <is>
          <t>3504846194</t>
        </is>
      </c>
      <c r="O18" t="n">
        <v>796.26</v>
      </c>
      <c r="P18" t="n">
        <v>775</v>
      </c>
      <c r="Q18" t="n">
        <v>1550</v>
      </c>
      <c r="R18" t="n">
        <v>2325</v>
      </c>
      <c r="S18" t="n">
        <v>30</v>
      </c>
      <c r="T18" t="inlineStr">
        <is>
          <t>121282622458</t>
        </is>
      </c>
      <c r="U18" t="n">
        <v>176.87</v>
      </c>
      <c r="V18" t="n">
        <v>176.87</v>
      </c>
      <c r="W18" t="inlineStr">
        <is>
          <t>022513195633</t>
        </is>
      </c>
      <c r="X18" t="n">
        <v>399.63</v>
      </c>
      <c r="Y18" t="n">
        <v>399.63</v>
      </c>
      <c r="Z18" t="n">
        <v>0</v>
      </c>
      <c r="AA18" t="n">
        <v>0</v>
      </c>
      <c r="AB18" t="n">
        <v>2</v>
      </c>
      <c r="AC18" t="inlineStr">
        <is>
          <t>393-148-269-000</t>
        </is>
      </c>
      <c r="AD18" t="inlineStr">
        <is>
          <t>28-Apr-26</t>
        </is>
      </c>
      <c r="AE18" t="inlineStr">
        <is>
          <t>9152000-3</t>
        </is>
      </c>
      <c r="AF18" t="inlineStr">
        <is>
          <t>SALES REPRESENTATIVE</t>
        </is>
      </c>
    </row>
    <row r="19">
      <c r="A19" t="inlineStr">
        <is>
          <t>26984</t>
        </is>
      </c>
      <c r="B19" t="inlineStr">
        <is>
          <t>16-May-26</t>
        </is>
      </c>
      <c r="C19" t="inlineStr">
        <is>
          <t>15-Jun-26</t>
        </is>
      </c>
      <c r="D19" t="inlineStr">
        <is>
          <t>01235</t>
        </is>
      </c>
      <c r="E19" t="inlineStr">
        <is>
          <t>BESTANK HEAD OFFICE - GENERAL ADMIN</t>
        </is>
      </c>
      <c r="F19" t="inlineStr">
        <is>
          <t>06102</t>
        </is>
      </c>
      <c r="G19" t="inlineStr">
        <is>
          <t>SALES</t>
        </is>
      </c>
      <c r="H19" t="inlineStr">
        <is>
          <t>MAICA</t>
        </is>
      </c>
      <c r="I19" t="inlineStr">
        <is>
          <t>N/A</t>
        </is>
      </c>
      <c r="K19" t="inlineStr">
        <is>
          <t>15-Jun-98</t>
        </is>
      </c>
      <c r="L19" t="n">
        <v>695</v>
      </c>
      <c r="M19" t="n">
        <v>0</v>
      </c>
      <c r="N19" t="inlineStr">
        <is>
          <t>3494131087</t>
        </is>
      </c>
      <c r="O19" t="n">
        <v>865.5</v>
      </c>
      <c r="P19" t="n">
        <v>850</v>
      </c>
      <c r="Q19" t="n">
        <v>1700</v>
      </c>
      <c r="R19" t="n">
        <v>2550</v>
      </c>
      <c r="S19" t="n">
        <v>30</v>
      </c>
      <c r="T19" t="inlineStr">
        <is>
          <t>121271160408</t>
        </is>
      </c>
      <c r="U19" t="n">
        <v>192.25</v>
      </c>
      <c r="V19" t="n">
        <v>192.25</v>
      </c>
      <c r="W19" t="inlineStr">
        <is>
          <t>020273674277</t>
        </is>
      </c>
      <c r="X19" t="n">
        <v>434.38</v>
      </c>
      <c r="Y19" t="n">
        <v>434.38</v>
      </c>
      <c r="Z19" t="n">
        <v>0</v>
      </c>
      <c r="AA19" t="n">
        <v>0</v>
      </c>
      <c r="AB19" t="n">
        <v>2</v>
      </c>
      <c r="AD19" t="inlineStr">
        <is>
          <t>21-May-25</t>
        </is>
      </c>
      <c r="AE19" t="inlineStr">
        <is>
          <t>6151998-2</t>
        </is>
      </c>
      <c r="AF19" t="inlineStr">
        <is>
          <t>RETAIL ACCOUNT EXECUTIVE</t>
        </is>
      </c>
    </row>
    <row r="20">
      <c r="A20" t="inlineStr">
        <is>
          <t>26984</t>
        </is>
      </c>
      <c r="B20" t="inlineStr">
        <is>
          <t>16-May-26</t>
        </is>
      </c>
      <c r="C20" t="inlineStr">
        <is>
          <t>15-Jun-26</t>
        </is>
      </c>
      <c r="D20" t="inlineStr">
        <is>
          <t>646</t>
        </is>
      </c>
      <c r="E20" t="inlineStr">
        <is>
          <t>BESTANK PROMO - CEBU  ( 382 )</t>
        </is>
      </c>
      <c r="F20" t="inlineStr">
        <is>
          <t>53012</t>
        </is>
      </c>
      <c r="G20" t="inlineStr">
        <is>
          <t>SEMBRANO</t>
        </is>
      </c>
      <c r="H20" t="inlineStr">
        <is>
          <t>JOEY</t>
        </is>
      </c>
      <c r="I20" t="inlineStr">
        <is>
          <t>BANTILLO</t>
        </is>
      </c>
      <c r="K20" t="inlineStr">
        <is>
          <t>01-Apr-81</t>
        </is>
      </c>
      <c r="L20" t="n">
        <v>812.0599999999999</v>
      </c>
      <c r="M20" t="n">
        <v>0</v>
      </c>
      <c r="N20" t="inlineStr">
        <is>
          <t>0114772761</t>
        </is>
      </c>
      <c r="O20" t="n">
        <v>969.12</v>
      </c>
      <c r="P20" t="n">
        <v>950</v>
      </c>
      <c r="Q20" t="n">
        <v>1900</v>
      </c>
      <c r="R20" t="n">
        <v>2850</v>
      </c>
      <c r="S20" t="n">
        <v>30</v>
      </c>
      <c r="T20" t="inlineStr">
        <is>
          <t>106001995230</t>
        </is>
      </c>
      <c r="U20" t="n">
        <v>184.56</v>
      </c>
      <c r="V20" t="n">
        <v>184.56</v>
      </c>
      <c r="W20" t="inlineStr">
        <is>
          <t>020500214385</t>
        </is>
      </c>
      <c r="X20" t="n">
        <v>487.24</v>
      </c>
      <c r="Y20" t="n">
        <v>487.24</v>
      </c>
      <c r="Z20" t="n">
        <v>0</v>
      </c>
      <c r="AA20" t="n">
        <v>0</v>
      </c>
      <c r="AB20" t="n">
        <v>2</v>
      </c>
      <c r="AD20" t="inlineStr">
        <is>
          <t>29-Mar-07</t>
        </is>
      </c>
      <c r="AE20" t="inlineStr">
        <is>
          <t>411981-2</t>
        </is>
      </c>
    </row>
    <row r="21">
      <c r="A21" t="inlineStr">
        <is>
          <t>26984</t>
        </is>
      </c>
      <c r="B21" t="inlineStr">
        <is>
          <t>16-May-26</t>
        </is>
      </c>
      <c r="C21" t="inlineStr">
        <is>
          <t>15-Jun-26</t>
        </is>
      </c>
      <c r="D21" t="inlineStr">
        <is>
          <t>01234</t>
        </is>
      </c>
      <c r="E21" t="inlineStr">
        <is>
          <t>BESTANK OFFICE - OPERATING</t>
        </is>
      </c>
      <c r="F21" t="inlineStr">
        <is>
          <t>76724</t>
        </is>
      </c>
      <c r="G21" t="inlineStr">
        <is>
          <t>TABUZO</t>
        </is>
      </c>
      <c r="H21" t="inlineStr">
        <is>
          <t>ALBERT</t>
        </is>
      </c>
      <c r="I21" t="inlineStr">
        <is>
          <t>TOLIBAS</t>
        </is>
      </c>
      <c r="K21" t="inlineStr">
        <is>
          <t>02-Feb-82</t>
        </is>
      </c>
      <c r="L21" t="n">
        <v>733.1799999999999</v>
      </c>
      <c r="M21" t="n">
        <v>711.45</v>
      </c>
      <c r="N21" t="inlineStr">
        <is>
          <t>3373462026</t>
        </is>
      </c>
      <c r="O21" t="n">
        <v>871.11</v>
      </c>
      <c r="P21" t="n">
        <v>850</v>
      </c>
      <c r="Q21" t="n">
        <v>1700</v>
      </c>
      <c r="R21" t="n">
        <v>2550</v>
      </c>
      <c r="S21" t="n">
        <v>30</v>
      </c>
      <c r="T21" t="inlineStr">
        <is>
          <t>105002002728</t>
        </is>
      </c>
      <c r="U21" t="n">
        <v>183.33</v>
      </c>
      <c r="V21" t="n">
        <v>183.33</v>
      </c>
      <c r="W21" t="inlineStr">
        <is>
          <t>020503431387</t>
        </is>
      </c>
      <c r="X21" t="n">
        <v>436.97</v>
      </c>
      <c r="Y21" t="n">
        <v>436.97</v>
      </c>
      <c r="Z21" t="n">
        <v>0</v>
      </c>
      <c r="AA21" t="n">
        <v>2234.97</v>
      </c>
      <c r="AB21" t="n">
        <v>2</v>
      </c>
      <c r="AC21" t="inlineStr">
        <is>
          <t>221-768-046-000</t>
        </is>
      </c>
      <c r="AD21" t="inlineStr">
        <is>
          <t>09-Jul-14</t>
        </is>
      </c>
      <c r="AE21" t="inlineStr">
        <is>
          <t>221982-3</t>
        </is>
      </c>
      <c r="AF21" t="inlineStr">
        <is>
          <t>SALES AGENT</t>
        </is>
      </c>
    </row>
    <row r="22">
      <c r="A22" t="inlineStr">
        <is>
          <t>26984</t>
        </is>
      </c>
      <c r="B22" t="inlineStr">
        <is>
          <t>16-May-26</t>
        </is>
      </c>
      <c r="C22" t="inlineStr">
        <is>
          <t>15-Jun-26</t>
        </is>
      </c>
      <c r="D22" t="inlineStr">
        <is>
          <t>01234</t>
        </is>
      </c>
      <c r="E22" t="inlineStr">
        <is>
          <t>BESTANK OFFICE - OPERATING</t>
        </is>
      </c>
      <c r="F22" t="inlineStr">
        <is>
          <t>342</t>
        </is>
      </c>
      <c r="G22" t="inlineStr">
        <is>
          <t>VILLALUZ</t>
        </is>
      </c>
      <c r="H22" t="inlineStr">
        <is>
          <t>RAYMOND</t>
        </is>
      </c>
      <c r="I22" t="inlineStr">
        <is>
          <t>DELA CRUZ</t>
        </is>
      </c>
      <c r="K22" t="inlineStr">
        <is>
          <t>30-Sep-85</t>
        </is>
      </c>
      <c r="L22" t="n">
        <v>695</v>
      </c>
      <c r="M22" t="n">
        <v>0</v>
      </c>
      <c r="N22" t="inlineStr">
        <is>
          <t>3390263952</t>
        </is>
      </c>
      <c r="O22" t="n">
        <v>504.41</v>
      </c>
      <c r="P22" t="n">
        <v>500</v>
      </c>
      <c r="Q22" t="n">
        <v>1000</v>
      </c>
      <c r="R22" t="n">
        <v>1500</v>
      </c>
      <c r="S22" t="n">
        <v>10</v>
      </c>
      <c r="T22" t="inlineStr">
        <is>
          <t>121146494251</t>
        </is>
      </c>
      <c r="U22" t="n">
        <v>112.04</v>
      </c>
      <c r="V22" t="n">
        <v>112.04</v>
      </c>
      <c r="W22" t="inlineStr">
        <is>
          <t>020500146088</t>
        </is>
      </c>
      <c r="X22" t="n">
        <v>274.43</v>
      </c>
      <c r="Y22" t="n">
        <v>274.43</v>
      </c>
      <c r="Z22" t="n">
        <v>1338.2</v>
      </c>
      <c r="AA22" t="n">
        <v>892.84</v>
      </c>
      <c r="AB22" t="n">
        <v>2</v>
      </c>
      <c r="AD22" t="inlineStr">
        <is>
          <t>09-May-19</t>
        </is>
      </c>
      <c r="AE22" t="inlineStr">
        <is>
          <t>9301985-2</t>
        </is>
      </c>
      <c r="AF22" t="inlineStr">
        <is>
          <t>WAREHOUSEMAN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9" customWidth="1" min="3" max="3"/>
    <col width="13" customWidth="1" min="4" max="4"/>
    <col width="16" customWidth="1" min="5" max="5"/>
    <col width="24" customWidth="1" min="6" max="6"/>
    <col width="14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9" customWidth="1" min="13" max="13"/>
    <col width="28" customWidth="1" min="14" max="14"/>
    <col width="13" customWidth="1" min="15" max="15"/>
    <col width="13" customWidth="1" min="16" max="16"/>
  </cols>
  <sheetData>
    <row r="1">
      <c r="A1" s="1" t="inlineStr">
        <is>
          <t>custid</t>
        </is>
      </c>
      <c r="B1" s="1" t="inlineStr">
        <is>
          <t>phealthno</t>
        </is>
      </c>
      <c r="C1" s="1" t="inlineStr">
        <is>
          <t>Monthly Salary</t>
        </is>
      </c>
      <c r="D1" s="1" t="inlineStr">
        <is>
          <t>birthdate</t>
        </is>
      </c>
      <c r="E1" s="1" t="inlineStr">
        <is>
          <t>lastname</t>
        </is>
      </c>
      <c r="F1" s="1" t="inlineStr">
        <is>
          <t>firstname</t>
        </is>
      </c>
      <c r="G1" s="1" t="inlineStr">
        <is>
          <t>middlename</t>
        </is>
      </c>
      <c r="H1" s="1" t="inlineStr">
        <is>
          <t>phealthee</t>
        </is>
      </c>
      <c r="I1" s="1" t="inlineStr">
        <is>
          <t>phealther</t>
        </is>
      </c>
      <c r="J1" s="1" t="inlineStr">
        <is>
          <t>ee ded</t>
        </is>
      </c>
      <c r="K1" s="1" t="inlineStr">
        <is>
          <t>er ded</t>
        </is>
      </c>
      <c r="L1" s="1" t="inlineStr">
        <is>
          <t>total ded</t>
        </is>
      </c>
      <c r="M1" s="1" t="inlineStr">
        <is>
          <t>phealthrem</t>
        </is>
      </c>
      <c r="N1" s="1" t="inlineStr">
        <is>
          <t>position</t>
        </is>
      </c>
      <c r="O1" s="1" t="inlineStr">
        <is>
          <t>datehired</t>
        </is>
      </c>
      <c r="P1" s="1" t="inlineStr">
        <is>
          <t>basicrate</t>
        </is>
      </c>
    </row>
    <row r="2">
      <c r="A2" s="2" t="n">
        <v>1234</v>
      </c>
      <c r="B2" s="2" t="inlineStr">
        <is>
          <t>180253025881</t>
        </is>
      </c>
      <c r="C2" s="3">
        <f>M2/0.05</f>
        <v/>
      </c>
      <c r="D2" s="4" t="inlineStr">
        <is>
          <t>02-May-98</t>
        </is>
      </c>
      <c r="E2" s="5" t="inlineStr">
        <is>
          <t>AGUILLOSO</t>
        </is>
      </c>
      <c r="F2" s="5" t="inlineStr">
        <is>
          <t>CYRENE MAE</t>
        </is>
      </c>
      <c r="G2" s="2" t="inlineStr">
        <is>
          <t>DONAIRE</t>
        </is>
      </c>
      <c r="H2" s="3" t="n">
        <v>431.29</v>
      </c>
      <c r="I2" s="3">
        <f>H2</f>
        <v/>
      </c>
      <c r="J2" s="6" t="inlineStr"/>
      <c r="K2" s="6" t="inlineStr"/>
      <c r="L2" s="6" t="inlineStr"/>
      <c r="M2" s="3">
        <f>H2+I2+N(L2)</f>
        <v/>
      </c>
      <c r="N2" s="5" t="inlineStr">
        <is>
          <t>BARCODER</t>
        </is>
      </c>
      <c r="O2" s="4" t="inlineStr">
        <is>
          <t>28-Jun-21</t>
        </is>
      </c>
      <c r="P2" s="3" t="n">
        <v>722.12</v>
      </c>
    </row>
    <row r="3">
      <c r="A3" s="2" t="n">
        <v>1235</v>
      </c>
      <c r="B3" s="2" t="inlineStr">
        <is>
          <t>020504450962</t>
        </is>
      </c>
      <c r="C3" s="3">
        <f>M3/0.05</f>
        <v/>
      </c>
      <c r="D3" s="4" t="inlineStr">
        <is>
          <t>11-Sep-82</t>
        </is>
      </c>
      <c r="E3" s="5" t="inlineStr">
        <is>
          <t>ANGELES</t>
        </is>
      </c>
      <c r="F3" s="5" t="inlineStr">
        <is>
          <t>FREDDIE</t>
        </is>
      </c>
      <c r="G3" s="2" t="inlineStr">
        <is>
          <t>BARTOLOME</t>
        </is>
      </c>
      <c r="H3" s="3" t="n">
        <v>512.5700000000001</v>
      </c>
      <c r="I3" s="3">
        <f>H3</f>
        <v/>
      </c>
      <c r="J3" s="6" t="inlineStr"/>
      <c r="K3" s="6" t="inlineStr"/>
      <c r="L3" s="6" t="inlineStr"/>
      <c r="M3" s="3">
        <f>H3+I3+N(L3)</f>
        <v/>
      </c>
      <c r="N3" s="5" t="inlineStr">
        <is>
          <t>PRODUCTION WELDER</t>
        </is>
      </c>
      <c r="O3" s="4" t="inlineStr">
        <is>
          <t>05-Feb-26</t>
        </is>
      </c>
      <c r="P3" s="3" t="n">
        <v>695</v>
      </c>
    </row>
    <row r="4">
      <c r="A4" s="2" t="n">
        <v>1235</v>
      </c>
      <c r="B4" s="2" t="inlineStr">
        <is>
          <t>020506754152</t>
        </is>
      </c>
      <c r="C4" s="3">
        <f>M4/0.05</f>
        <v/>
      </c>
      <c r="D4" s="4" t="inlineStr">
        <is>
          <t>21-Jul-79</t>
        </is>
      </c>
      <c r="E4" s="5" t="inlineStr">
        <is>
          <t>ARDABAN JR</t>
        </is>
      </c>
      <c r="F4" s="5" t="inlineStr">
        <is>
          <t>RODRIGO</t>
        </is>
      </c>
      <c r="G4" s="2" t="inlineStr">
        <is>
          <t>AMOLO</t>
        </is>
      </c>
      <c r="H4" s="3" t="n">
        <v>455.68</v>
      </c>
      <c r="I4" s="3">
        <f>H4</f>
        <v/>
      </c>
      <c r="J4" s="6" t="inlineStr"/>
      <c r="K4" s="6" t="inlineStr"/>
      <c r="L4" s="6" t="inlineStr"/>
      <c r="M4" s="3">
        <f>H4+I4+N(L4)</f>
        <v/>
      </c>
      <c r="N4" s="3" t="n">
        <v/>
      </c>
      <c r="O4" s="4" t="inlineStr">
        <is>
          <t>08-Mar-10</t>
        </is>
      </c>
      <c r="P4" s="3" t="n">
        <v>867.95</v>
      </c>
    </row>
    <row r="5">
      <c r="A5" s="2" t="n">
        <v>1235</v>
      </c>
      <c r="B5" s="2" t="inlineStr">
        <is>
          <t>210257466560</t>
        </is>
      </c>
      <c r="C5" s="3">
        <f>M5/0.05</f>
        <v/>
      </c>
      <c r="D5" s="4" t="inlineStr">
        <is>
          <t>11-Jan-99</t>
        </is>
      </c>
      <c r="E5" s="5" t="inlineStr">
        <is>
          <t>CORDERO</t>
        </is>
      </c>
      <c r="F5" s="5" t="inlineStr">
        <is>
          <t>KYEZELLE AMOR</t>
        </is>
      </c>
      <c r="G5" s="2" t="inlineStr">
        <is>
          <t>ANGELES</t>
        </is>
      </c>
      <c r="H5" s="3" t="n">
        <v>411.25</v>
      </c>
      <c r="I5" s="3">
        <f>H5</f>
        <v/>
      </c>
      <c r="J5" s="6" t="inlineStr"/>
      <c r="K5" s="6" t="inlineStr"/>
      <c r="L5" s="6" t="inlineStr"/>
      <c r="M5" s="3">
        <f>H5+I5+N(L5)</f>
        <v/>
      </c>
      <c r="N5" s="5" t="inlineStr">
        <is>
          <t>RETAIL ACCOUNT EXECUTIVE</t>
        </is>
      </c>
      <c r="O5" s="4" t="inlineStr">
        <is>
          <t>02-Dec-24</t>
        </is>
      </c>
      <c r="P5" s="3" t="n">
        <v>700</v>
      </c>
    </row>
    <row r="6">
      <c r="A6" s="2" t="n">
        <v>1233</v>
      </c>
      <c r="B6" s="2" t="inlineStr">
        <is>
          <t>020278925618</t>
        </is>
      </c>
      <c r="C6" s="3">
        <f>M6/0.05</f>
        <v/>
      </c>
      <c r="D6" s="4" t="inlineStr">
        <is>
          <t>06-Jun-01</t>
        </is>
      </c>
      <c r="E6" s="5" t="inlineStr">
        <is>
          <t>ECAT</t>
        </is>
      </c>
      <c r="F6" s="5" t="inlineStr">
        <is>
          <t>FRANCES JOYCE DOYENN</t>
        </is>
      </c>
      <c r="G6" s="2" t="inlineStr">
        <is>
          <t>SARONA</t>
        </is>
      </c>
      <c r="H6" s="3" t="n">
        <v>125</v>
      </c>
      <c r="I6" s="3">
        <f>H6</f>
        <v/>
      </c>
      <c r="J6" s="7">
        <f>250-H6</f>
        <v/>
      </c>
      <c r="K6" s="7">
        <f>250-I6</f>
        <v/>
      </c>
      <c r="L6" s="7">
        <f>J6+K6</f>
        <v/>
      </c>
      <c r="M6" s="3">
        <f>H6+I6+N(L6)</f>
        <v/>
      </c>
      <c r="N6" s="5" t="inlineStr">
        <is>
          <t>PRODUCTION WELD</t>
        </is>
      </c>
      <c r="O6" s="4" t="inlineStr">
        <is>
          <t>16-Oct-25</t>
        </is>
      </c>
      <c r="P6" s="3" t="n">
        <v>695</v>
      </c>
    </row>
    <row r="7">
      <c r="A7" s="2" t="n">
        <v>1234</v>
      </c>
      <c r="B7" s="2" t="inlineStr">
        <is>
          <t>022530600932</t>
        </is>
      </c>
      <c r="C7" s="3">
        <f>M7/0.05</f>
        <v/>
      </c>
      <c r="D7" s="4" t="inlineStr">
        <is>
          <t>19-Mar-99</t>
        </is>
      </c>
      <c r="E7" s="5" t="inlineStr">
        <is>
          <t>FORTES</t>
        </is>
      </c>
      <c r="F7" s="5" t="inlineStr">
        <is>
          <t>JOLLIENA</t>
        </is>
      </c>
      <c r="G7" s="2" t="inlineStr">
        <is>
          <t>MACASOJOT</t>
        </is>
      </c>
      <c r="H7" s="3" t="n">
        <v>348.8</v>
      </c>
      <c r="I7" s="3">
        <f>H7</f>
        <v/>
      </c>
      <c r="J7" s="6" t="inlineStr"/>
      <c r="K7" s="6" t="inlineStr"/>
      <c r="L7" s="6" t="inlineStr"/>
      <c r="M7" s="3">
        <f>H7+I7+N(L7)</f>
        <v/>
      </c>
      <c r="N7" s="5" t="inlineStr">
        <is>
          <t>WAREHOUSE STAFF</t>
        </is>
      </c>
      <c r="O7" s="4" t="inlineStr">
        <is>
          <t>08-Feb-23</t>
        </is>
      </c>
      <c r="P7" s="3" t="n">
        <v>735.48</v>
      </c>
    </row>
    <row r="8">
      <c r="A8" s="2" t="n">
        <v>1233</v>
      </c>
      <c r="B8" s="2" t="inlineStr">
        <is>
          <t>030272166605</t>
        </is>
      </c>
      <c r="C8" s="3">
        <f>M8/0.05</f>
        <v/>
      </c>
      <c r="D8" s="4" t="inlineStr">
        <is>
          <t>20-Dec-02</t>
        </is>
      </c>
      <c r="E8" s="5" t="inlineStr">
        <is>
          <t>FRANCISCO JR</t>
        </is>
      </c>
      <c r="F8" s="5" t="inlineStr">
        <is>
          <t>JONATHAN</t>
        </is>
      </c>
      <c r="G8" s="2" t="inlineStr">
        <is>
          <t>GUMIA</t>
        </is>
      </c>
      <c r="H8" s="3" t="n">
        <v>417</v>
      </c>
      <c r="I8" s="3">
        <f>H8</f>
        <v/>
      </c>
      <c r="J8" s="6" t="inlineStr"/>
      <c r="K8" s="6" t="inlineStr"/>
      <c r="L8" s="6" t="inlineStr"/>
      <c r="M8" s="3">
        <f>H8+I8+N(L8)</f>
        <v/>
      </c>
      <c r="N8" s="5" t="inlineStr">
        <is>
          <t>WELDER</t>
        </is>
      </c>
      <c r="O8" s="4" t="inlineStr">
        <is>
          <t>16-Oct-25</t>
        </is>
      </c>
      <c r="P8" s="3" t="n">
        <v>695</v>
      </c>
    </row>
    <row r="9">
      <c r="A9" s="2" t="n">
        <v>1235</v>
      </c>
      <c r="B9" s="2" t="inlineStr">
        <is>
          <t>022539991217</t>
        </is>
      </c>
      <c r="C9" s="3">
        <f>M9/0.05</f>
        <v/>
      </c>
      <c r="D9" s="4" t="inlineStr">
        <is>
          <t>12-Dec-98</t>
        </is>
      </c>
      <c r="E9" s="5" t="inlineStr">
        <is>
          <t>GARCIA</t>
        </is>
      </c>
      <c r="F9" s="5" t="inlineStr">
        <is>
          <t>DANIELLA MAY</t>
        </is>
      </c>
      <c r="G9" s="2" t="inlineStr">
        <is>
          <t>SOPLITO</t>
        </is>
      </c>
      <c r="H9" s="3" t="n">
        <v>388.68</v>
      </c>
      <c r="I9" s="3">
        <f>H9</f>
        <v/>
      </c>
      <c r="J9" s="6" t="inlineStr"/>
      <c r="K9" s="6" t="inlineStr"/>
      <c r="L9" s="6" t="inlineStr"/>
      <c r="M9" s="3">
        <f>H9+I9+N(L9)</f>
        <v/>
      </c>
      <c r="N9" s="5" t="inlineStr">
        <is>
          <t>RETAIL ACCOUNT EXECUTIVE</t>
        </is>
      </c>
      <c r="O9" s="4" t="inlineStr">
        <is>
          <t>07-Mar-25</t>
        </is>
      </c>
      <c r="P9" s="3" t="n">
        <v>695</v>
      </c>
    </row>
    <row r="10">
      <c r="A10" s="2" t="n">
        <v>1235</v>
      </c>
      <c r="B10" s="2" t="inlineStr">
        <is>
          <t>102520119687</t>
        </is>
      </c>
      <c r="C10" s="3">
        <f>M10/0.05</f>
        <v/>
      </c>
      <c r="D10" s="4" t="inlineStr">
        <is>
          <t>17-Jul-97</t>
        </is>
      </c>
      <c r="E10" s="5" t="inlineStr">
        <is>
          <t>GIGANTE</t>
        </is>
      </c>
      <c r="F10" s="5" t="inlineStr">
        <is>
          <t>ELIZABETH</t>
        </is>
      </c>
      <c r="G10" s="2" t="inlineStr">
        <is>
          <t>MAGBOO</t>
        </is>
      </c>
      <c r="H10" s="3" t="n">
        <v>369.71</v>
      </c>
      <c r="I10" s="3">
        <f>H10</f>
        <v/>
      </c>
      <c r="J10" s="6" t="inlineStr"/>
      <c r="K10" s="6" t="inlineStr"/>
      <c r="L10" s="6" t="inlineStr"/>
      <c r="M10" s="3">
        <f>H10+I10+N(L10)</f>
        <v/>
      </c>
      <c r="N10" s="5" t="inlineStr">
        <is>
          <t>RETAIL ACCOUNT EXECUTIVE</t>
        </is>
      </c>
      <c r="O10" s="4" t="inlineStr">
        <is>
          <t>07-Jan-23</t>
        </is>
      </c>
      <c r="P10" s="3" t="n">
        <v>709.62</v>
      </c>
    </row>
    <row r="11">
      <c r="A11" s="2" t="n">
        <v>1235</v>
      </c>
      <c r="B11" s="2" t="inlineStr">
        <is>
          <t>020278934072</t>
        </is>
      </c>
      <c r="C11" s="3">
        <f>M11/0.05</f>
        <v/>
      </c>
      <c r="D11" s="4" t="inlineStr">
        <is>
          <t>10-May-02</t>
        </is>
      </c>
      <c r="E11" s="5" t="inlineStr">
        <is>
          <t>GUEVARRA</t>
        </is>
      </c>
      <c r="F11" s="5" t="inlineStr">
        <is>
          <t>JASON</t>
        </is>
      </c>
      <c r="G11" s="2" t="inlineStr">
        <is>
          <t>ORIOSA</t>
        </is>
      </c>
      <c r="H11" s="3" t="n">
        <v>486.51</v>
      </c>
      <c r="I11" s="3">
        <f>H11</f>
        <v/>
      </c>
      <c r="J11" s="6" t="inlineStr"/>
      <c r="K11" s="6" t="inlineStr"/>
      <c r="L11" s="6" t="inlineStr"/>
      <c r="M11" s="3">
        <f>H11+I11+N(L11)</f>
        <v/>
      </c>
      <c r="N11" s="5" t="inlineStr">
        <is>
          <t>PRODUCTION WELDER</t>
        </is>
      </c>
      <c r="O11" s="4" t="inlineStr">
        <is>
          <t>26-Nov-25</t>
        </is>
      </c>
      <c r="P11" s="3" t="n">
        <v>695</v>
      </c>
    </row>
    <row r="12">
      <c r="A12" s="2" t="n">
        <v>275</v>
      </c>
      <c r="B12" s="2" t="inlineStr">
        <is>
          <t>040500834651</t>
        </is>
      </c>
      <c r="C12" s="3">
        <f>M12/0.05</f>
        <v/>
      </c>
      <c r="D12" s="4" t="inlineStr">
        <is>
          <t>05-Jun-88</t>
        </is>
      </c>
      <c r="E12" s="5" t="inlineStr">
        <is>
          <t>MANECLANG</t>
        </is>
      </c>
      <c r="F12" s="5" t="inlineStr">
        <is>
          <t>MICHAEL</t>
        </is>
      </c>
      <c r="G12" s="2" t="inlineStr">
        <is>
          <t>RELOZA</t>
        </is>
      </c>
      <c r="H12" s="3" t="n">
        <v>250</v>
      </c>
      <c r="I12" s="3">
        <f>H12</f>
        <v/>
      </c>
      <c r="J12" s="6" t="inlineStr"/>
      <c r="K12" s="6" t="inlineStr"/>
      <c r="L12" s="6" t="inlineStr"/>
      <c r="M12" s="3">
        <f>H12+I12+N(L12)</f>
        <v/>
      </c>
      <c r="N12" s="5" t="inlineStr">
        <is>
          <t>SALES REPRESENT</t>
        </is>
      </c>
      <c r="O12" s="4" t="inlineStr">
        <is>
          <t>23-Aug-16</t>
        </is>
      </c>
      <c r="P12" s="3" t="n">
        <v>505</v>
      </c>
    </row>
    <row r="13">
      <c r="A13" s="2" t="n">
        <v>1235</v>
      </c>
      <c r="B13" s="2" t="inlineStr">
        <is>
          <t>020264576963</t>
        </is>
      </c>
      <c r="C13" s="3">
        <f>M13/0.05</f>
        <v/>
      </c>
      <c r="D13" s="4" t="inlineStr">
        <is>
          <t>02-May-91</t>
        </is>
      </c>
      <c r="E13" s="5" t="inlineStr">
        <is>
          <t>MANGAZAR</t>
        </is>
      </c>
      <c r="F13" s="5" t="inlineStr">
        <is>
          <t>GLENABEL</t>
        </is>
      </c>
      <c r="G13" s="2" t="inlineStr">
        <is>
          <t>TRAMBULO</t>
        </is>
      </c>
      <c r="H13" s="3" t="n">
        <v>532.22</v>
      </c>
      <c r="I13" s="3">
        <f>H13</f>
        <v/>
      </c>
      <c r="J13" s="6" t="inlineStr"/>
      <c r="K13" s="6" t="inlineStr"/>
      <c r="L13" s="6" t="inlineStr"/>
      <c r="M13" s="3">
        <f>H13+I13+N(L13)</f>
        <v/>
      </c>
      <c r="N13" s="5" t="inlineStr">
        <is>
          <t>EXECUTIVE ASSIS</t>
        </is>
      </c>
      <c r="O13" s="4" t="inlineStr">
        <is>
          <t>27-Mar-15</t>
        </is>
      </c>
      <c r="P13" s="3" t="n">
        <v>887.02</v>
      </c>
    </row>
    <row r="14">
      <c r="A14" s="2" t="n">
        <v>1235</v>
      </c>
      <c r="B14" s="2" t="inlineStr">
        <is>
          <t>022540439250</t>
        </is>
      </c>
      <c r="C14" s="3">
        <f>M14/0.05</f>
        <v/>
      </c>
      <c r="D14" s="4" t="inlineStr">
        <is>
          <t>28-Jan-03</t>
        </is>
      </c>
      <c r="E14" s="5" t="inlineStr">
        <is>
          <t>MASCARDO</t>
        </is>
      </c>
      <c r="F14" s="5" t="inlineStr">
        <is>
          <t>HERSHEY</t>
        </is>
      </c>
      <c r="G14" s="2" t="inlineStr">
        <is>
          <t>DELA CRUZ</t>
        </is>
      </c>
      <c r="H14" s="3" t="n">
        <v>316.13</v>
      </c>
      <c r="I14" s="3">
        <f>H14</f>
        <v/>
      </c>
      <c r="J14" s="6" t="inlineStr"/>
      <c r="K14" s="6" t="inlineStr"/>
      <c r="L14" s="6" t="inlineStr"/>
      <c r="M14" s="3">
        <f>H14+I14+N(L14)</f>
        <v/>
      </c>
      <c r="N14" s="5" t="inlineStr">
        <is>
          <t>RETAIL ACCOUNT EXECUTIVE</t>
        </is>
      </c>
      <c r="O14" s="4" t="inlineStr">
        <is>
          <t>05-Feb-26</t>
        </is>
      </c>
      <c r="P14" s="3" t="n">
        <v>695</v>
      </c>
    </row>
    <row r="15">
      <c r="A15" s="2" t="n">
        <v>1233</v>
      </c>
      <c r="B15" s="2" t="inlineStr">
        <is>
          <t>020271566043</t>
        </is>
      </c>
      <c r="C15" s="3">
        <f>M15/0.05</f>
        <v/>
      </c>
      <c r="D15" s="4" t="inlineStr">
        <is>
          <t>26-May-95</t>
        </is>
      </c>
      <c r="E15" s="5" t="inlineStr">
        <is>
          <t>MENDOZA</t>
        </is>
      </c>
      <c r="F15" s="5" t="inlineStr">
        <is>
          <t>EAJAY</t>
        </is>
      </c>
      <c r="G15" s="2" t="inlineStr">
        <is>
          <t>PURA</t>
        </is>
      </c>
      <c r="H15" s="3" t="n">
        <v>398.15</v>
      </c>
      <c r="I15" s="3">
        <f>H15</f>
        <v/>
      </c>
      <c r="J15" s="6" t="inlineStr"/>
      <c r="K15" s="6" t="inlineStr"/>
      <c r="L15" s="6" t="inlineStr"/>
      <c r="M15" s="3">
        <f>H15+I15+N(L15)</f>
        <v/>
      </c>
      <c r="N15" s="5" t="inlineStr">
        <is>
          <t>WELDER</t>
        </is>
      </c>
      <c r="O15" s="4" t="inlineStr">
        <is>
          <t>06-Sep-22</t>
        </is>
      </c>
      <c r="P15" s="3" t="n">
        <v>695</v>
      </c>
    </row>
    <row r="16">
      <c r="A16" s="2" t="n">
        <v>1234</v>
      </c>
      <c r="B16" s="2" t="inlineStr">
        <is>
          <t>050500254332</t>
        </is>
      </c>
      <c r="C16" s="3">
        <f>M16/0.05</f>
        <v/>
      </c>
      <c r="D16" s="4" t="inlineStr">
        <is>
          <t>20-Jan-74</t>
        </is>
      </c>
      <c r="E16" s="5" t="inlineStr">
        <is>
          <t>MONTEMAYOR</t>
        </is>
      </c>
      <c r="F16" s="5" t="inlineStr">
        <is>
          <t>MICHAEL</t>
        </is>
      </c>
      <c r="G16" s="2" t="inlineStr">
        <is>
          <t>FLORES</t>
        </is>
      </c>
      <c r="H16" s="3" t="n">
        <v>328</v>
      </c>
      <c r="I16" s="3">
        <f>H16</f>
        <v/>
      </c>
      <c r="J16" s="6" t="inlineStr"/>
      <c r="K16" s="6" t="inlineStr"/>
      <c r="L16" s="6" t="inlineStr"/>
      <c r="M16" s="3">
        <f>H16+I16+N(L16)</f>
        <v/>
      </c>
      <c r="N16" s="5" t="inlineStr">
        <is>
          <t>SALES AGENT</t>
        </is>
      </c>
      <c r="O16" s="4" t="inlineStr">
        <is>
          <t>05-Sep-06</t>
        </is>
      </c>
      <c r="P16" s="3" t="n">
        <v>570.4400000000001</v>
      </c>
    </row>
    <row r="17">
      <c r="A17" s="2" t="n">
        <v>1234</v>
      </c>
      <c r="B17" s="2" t="inlineStr">
        <is>
          <t>020510778562</t>
        </is>
      </c>
      <c r="C17" s="3">
        <f>M17/0.05</f>
        <v/>
      </c>
      <c r="D17" s="4" t="inlineStr">
        <is>
          <t>23-Apr-94</t>
        </is>
      </c>
      <c r="E17" s="5" t="inlineStr">
        <is>
          <t>PLAZA</t>
        </is>
      </c>
      <c r="F17" s="5" t="inlineStr">
        <is>
          <t>JOVEN</t>
        </is>
      </c>
      <c r="G17" s="2" t="inlineStr">
        <is>
          <t>HILONGO</t>
        </is>
      </c>
      <c r="H17" s="3" t="n">
        <v>243.76</v>
      </c>
      <c r="I17" s="3">
        <f>H17</f>
        <v/>
      </c>
      <c r="J17" s="7">
        <f>250-H17</f>
        <v/>
      </c>
      <c r="K17" s="7">
        <f>250-I17</f>
        <v/>
      </c>
      <c r="L17" s="7">
        <f>J17+K17</f>
        <v/>
      </c>
      <c r="M17" s="3">
        <f>H17+I17+N(L17)</f>
        <v/>
      </c>
      <c r="N17" s="5" t="inlineStr">
        <is>
          <t>WAREHOUSE PICKE</t>
        </is>
      </c>
      <c r="O17" s="4" t="inlineStr">
        <is>
          <t>04-Mar-21</t>
        </is>
      </c>
      <c r="P17" s="3" t="n">
        <v>705</v>
      </c>
    </row>
    <row r="18">
      <c r="A18" s="2" t="n">
        <v>1235</v>
      </c>
      <c r="B18" s="2" t="inlineStr">
        <is>
          <t>022513195633</t>
        </is>
      </c>
      <c r="C18" s="3">
        <f>M18/0.05</f>
        <v/>
      </c>
      <c r="D18" s="4" t="inlineStr">
        <is>
          <t>15-Sep-00</t>
        </is>
      </c>
      <c r="E18" s="5" t="inlineStr">
        <is>
          <t>RANES</t>
        </is>
      </c>
      <c r="F18" s="5" t="inlineStr">
        <is>
          <t>AINAH MARIE</t>
        </is>
      </c>
      <c r="G18" s="2" t="inlineStr">
        <is>
          <t>MACAPAGAL</t>
        </is>
      </c>
      <c r="H18" s="3" t="n">
        <v>399.63</v>
      </c>
      <c r="I18" s="3">
        <f>H18</f>
        <v/>
      </c>
      <c r="J18" s="6" t="inlineStr"/>
      <c r="K18" s="6" t="inlineStr"/>
      <c r="L18" s="6" t="inlineStr"/>
      <c r="M18" s="3">
        <f>H18+I18+N(L18)</f>
        <v/>
      </c>
      <c r="N18" s="5" t="inlineStr">
        <is>
          <t>SALES REPRESENTATIVE</t>
        </is>
      </c>
      <c r="O18" s="4" t="inlineStr">
        <is>
          <t>28-Apr-26</t>
        </is>
      </c>
      <c r="P18" s="3" t="n">
        <v>695</v>
      </c>
    </row>
    <row r="19">
      <c r="A19" s="2" t="n">
        <v>1235</v>
      </c>
      <c r="B19" s="2" t="inlineStr">
        <is>
          <t>020273674277</t>
        </is>
      </c>
      <c r="C19" s="3">
        <f>M19/0.05</f>
        <v/>
      </c>
      <c r="D19" s="4" t="inlineStr">
        <is>
          <t>15-Jun-98</t>
        </is>
      </c>
      <c r="E19" s="5" t="inlineStr">
        <is>
          <t>SALES</t>
        </is>
      </c>
      <c r="F19" s="5" t="inlineStr">
        <is>
          <t>MAICA</t>
        </is>
      </c>
      <c r="G19" s="2" t="n">
        <v/>
      </c>
      <c r="H19" s="3" t="n">
        <v>434.38</v>
      </c>
      <c r="I19" s="3">
        <f>H19</f>
        <v/>
      </c>
      <c r="J19" s="6" t="inlineStr"/>
      <c r="K19" s="6" t="inlineStr"/>
      <c r="L19" s="6" t="inlineStr"/>
      <c r="M19" s="3">
        <f>H19+I19+N(L19)</f>
        <v/>
      </c>
      <c r="N19" s="5" t="inlineStr">
        <is>
          <t>RETAIL ACCOUNT EXECUTIVE</t>
        </is>
      </c>
      <c r="O19" s="4" t="inlineStr">
        <is>
          <t>21-May-25</t>
        </is>
      </c>
      <c r="P19" s="3" t="n">
        <v>695</v>
      </c>
    </row>
    <row r="20">
      <c r="A20" s="2" t="n">
        <v>646</v>
      </c>
      <c r="B20" s="2" t="inlineStr">
        <is>
          <t>020500214385</t>
        </is>
      </c>
      <c r="C20" s="3">
        <f>M20/0.05</f>
        <v/>
      </c>
      <c r="D20" s="4" t="inlineStr">
        <is>
          <t>01-Apr-81</t>
        </is>
      </c>
      <c r="E20" s="5" t="inlineStr">
        <is>
          <t>SEMBRANO</t>
        </is>
      </c>
      <c r="F20" s="5" t="inlineStr">
        <is>
          <t>JOEY</t>
        </is>
      </c>
      <c r="G20" s="2" t="inlineStr">
        <is>
          <t>BANTILLO</t>
        </is>
      </c>
      <c r="H20" s="3" t="n">
        <v>487.24</v>
      </c>
      <c r="I20" s="3">
        <f>H20</f>
        <v/>
      </c>
      <c r="J20" s="6" t="inlineStr"/>
      <c r="K20" s="6" t="inlineStr"/>
      <c r="L20" s="6" t="inlineStr"/>
      <c r="M20" s="3">
        <f>H20+I20+N(L20)</f>
        <v/>
      </c>
      <c r="N20" s="3" t="n">
        <v/>
      </c>
      <c r="O20" s="4" t="inlineStr">
        <is>
          <t>29-Mar-07</t>
        </is>
      </c>
      <c r="P20" s="3" t="n">
        <v>812.0599999999999</v>
      </c>
    </row>
    <row r="21">
      <c r="A21" s="2" t="n">
        <v>1234</v>
      </c>
      <c r="B21" s="2" t="inlineStr">
        <is>
          <t>020503431387</t>
        </is>
      </c>
      <c r="C21" s="3">
        <f>M21/0.05</f>
        <v/>
      </c>
      <c r="D21" s="4" t="inlineStr">
        <is>
          <t>02-Feb-82</t>
        </is>
      </c>
      <c r="E21" s="5" t="inlineStr">
        <is>
          <t>TABUZO</t>
        </is>
      </c>
      <c r="F21" s="5" t="inlineStr">
        <is>
          <t>ALBERT</t>
        </is>
      </c>
      <c r="G21" s="2" t="inlineStr">
        <is>
          <t>TOLIBAS</t>
        </is>
      </c>
      <c r="H21" s="3" t="n">
        <v>436.97</v>
      </c>
      <c r="I21" s="3">
        <f>H21</f>
        <v/>
      </c>
      <c r="J21" s="6" t="inlineStr"/>
      <c r="K21" s="6" t="inlineStr"/>
      <c r="L21" s="6" t="inlineStr"/>
      <c r="M21" s="3">
        <f>H21+I21+N(L21)</f>
        <v/>
      </c>
      <c r="N21" s="5" t="inlineStr">
        <is>
          <t>SALES AGENT</t>
        </is>
      </c>
      <c r="O21" s="4" t="inlineStr">
        <is>
          <t>09-Jul-14</t>
        </is>
      </c>
      <c r="P21" s="3" t="n">
        <v>733.1799999999999</v>
      </c>
    </row>
    <row r="22">
      <c r="A22" s="2" t="n">
        <v>1234</v>
      </c>
      <c r="B22" s="2" t="inlineStr">
        <is>
          <t>020500146088</t>
        </is>
      </c>
      <c r="C22" s="3">
        <f>M22/0.05</f>
        <v/>
      </c>
      <c r="D22" s="4" t="inlineStr">
        <is>
          <t>30-Sep-85</t>
        </is>
      </c>
      <c r="E22" s="5" t="inlineStr">
        <is>
          <t>VILLALUZ</t>
        </is>
      </c>
      <c r="F22" s="5" t="inlineStr">
        <is>
          <t>RAYMOND</t>
        </is>
      </c>
      <c r="G22" s="2" t="inlineStr">
        <is>
          <t>DELA CRUZ</t>
        </is>
      </c>
      <c r="H22" s="3" t="n">
        <v>274.43</v>
      </c>
      <c r="I22" s="3">
        <f>H22</f>
        <v/>
      </c>
      <c r="J22" s="6" t="inlineStr"/>
      <c r="K22" s="6" t="inlineStr"/>
      <c r="L22" s="6" t="inlineStr"/>
      <c r="M22" s="3">
        <f>H22+I22+N(L22)</f>
        <v/>
      </c>
      <c r="N22" s="5" t="inlineStr">
        <is>
          <t>WAREHOUSEMAN</t>
        </is>
      </c>
      <c r="O22" s="4" t="inlineStr">
        <is>
          <t>09-May-19</t>
        </is>
      </c>
      <c r="P22" s="3" t="n">
        <v>695</v>
      </c>
    </row>
    <row r="23"/>
    <row r="24"/>
    <row r="25">
      <c r="A25" s="8" t="inlineStr">
        <is>
          <t>Total</t>
        </is>
      </c>
      <c r="B25" s="9" t="n"/>
      <c r="C25" s="9" t="n"/>
      <c r="D25" s="9" t="n"/>
      <c r="E25" s="9" t="n"/>
      <c r="F25" s="9" t="n"/>
      <c r="G25" s="9" t="n"/>
      <c r="H25" s="10">
        <f>SUM(H2:H22)</f>
        <v/>
      </c>
      <c r="I25" s="10">
        <f>SUM(I2:I22)</f>
        <v/>
      </c>
      <c r="J25" s="10">
        <f>SUM(J2:J22)</f>
        <v/>
      </c>
      <c r="K25" s="10">
        <f>SUM(K2:K22)</f>
        <v/>
      </c>
      <c r="L25" s="10">
        <f>SUM(L2:L22)</f>
        <v/>
      </c>
      <c r="M25" s="10">
        <f>SUM(M2:M22)</f>
        <v/>
      </c>
      <c r="N25" s="9" t="n"/>
      <c r="O25" s="9" t="n"/>
      <c r="P25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24" customWidth="1" min="4" max="4"/>
    <col width="15" customWidth="1" min="5" max="5"/>
    <col width="17" customWidth="1" min="6" max="6"/>
    <col width="17" customWidth="1" min="7" max="7"/>
    <col width="17" customWidth="1" min="8" max="8"/>
    <col width="13" customWidth="1" min="9" max="9"/>
  </cols>
  <sheetData>
    <row r="1">
      <c r="A1" s="1" t="inlineStr">
        <is>
          <t>pagibigno</t>
        </is>
      </c>
      <c r="B1" s="1" t="inlineStr">
        <is>
          <t>companyid</t>
        </is>
      </c>
      <c r="C1" s="1" t="inlineStr">
        <is>
          <t>lastname</t>
        </is>
      </c>
      <c r="D1" s="1" t="inlineStr">
        <is>
          <t>firstname</t>
        </is>
      </c>
      <c r="E1" s="1" t="inlineStr">
        <is>
          <t>middlename</t>
        </is>
      </c>
      <c r="F1" s="1" t="inlineStr">
        <is>
          <t>ee</t>
        </is>
      </c>
      <c r="G1" s="1" t="inlineStr">
        <is>
          <t>er</t>
        </is>
      </c>
      <c r="H1" s="1" t="inlineStr">
        <is>
          <t>tinno</t>
        </is>
      </c>
      <c r="I1" s="1" t="inlineStr">
        <is>
          <t>birthdate</t>
        </is>
      </c>
    </row>
    <row r="2">
      <c r="A2" s="2" t="inlineStr">
        <is>
          <t>121283251585</t>
        </is>
      </c>
      <c r="B2" s="2" t="inlineStr">
        <is>
          <t>521998-3</t>
        </is>
      </c>
      <c r="C2" s="5" t="inlineStr">
        <is>
          <t>AGUILLOSO</t>
        </is>
      </c>
      <c r="D2" s="5" t="inlineStr">
        <is>
          <t>CYRENE MAE</t>
        </is>
      </c>
      <c r="E2" s="2" t="inlineStr">
        <is>
          <t>DONAIRE</t>
        </is>
      </c>
      <c r="F2" s="3" t="n">
        <v>183.71</v>
      </c>
      <c r="G2" s="3">
        <f>IF(F2&gt;200,200,F2)</f>
        <v/>
      </c>
      <c r="H2" s="2" t="n">
        <v/>
      </c>
      <c r="I2" s="4" t="inlineStr">
        <is>
          <t>02-May-98</t>
        </is>
      </c>
    </row>
    <row r="3">
      <c r="A3" s="11" t="inlineStr">
        <is>
          <t>121231153220</t>
        </is>
      </c>
      <c r="B3" s="11" t="inlineStr">
        <is>
          <t>9111982-3</t>
        </is>
      </c>
      <c r="C3" s="12" t="inlineStr">
        <is>
          <t>ANGELES</t>
        </is>
      </c>
      <c r="D3" s="12" t="inlineStr">
        <is>
          <t>FREDDIE</t>
        </is>
      </c>
      <c r="E3" s="11" t="inlineStr">
        <is>
          <t>BARTOLOME</t>
        </is>
      </c>
      <c r="F3" s="13" t="n">
        <v>226.86</v>
      </c>
      <c r="G3" s="13">
        <f>IF(F3&gt;200,200,F3)</f>
        <v/>
      </c>
      <c r="H3" s="11" t="inlineStr">
        <is>
          <t>N/A-000</t>
        </is>
      </c>
      <c r="I3" s="14" t="inlineStr">
        <is>
          <t>11-Sep-82</t>
        </is>
      </c>
    </row>
    <row r="4">
      <c r="A4" s="2" t="inlineStr">
        <is>
          <t>121027193814</t>
        </is>
      </c>
      <c r="B4" s="2" t="inlineStr">
        <is>
          <t>7211979-3</t>
        </is>
      </c>
      <c r="C4" s="5" t="inlineStr">
        <is>
          <t>ARDABAN JR</t>
        </is>
      </c>
      <c r="D4" s="5" t="inlineStr">
        <is>
          <t>RODRIGO</t>
        </is>
      </c>
      <c r="E4" s="2" t="inlineStr">
        <is>
          <t>AMOLO</t>
        </is>
      </c>
      <c r="F4" s="3" t="n">
        <v>161.49</v>
      </c>
      <c r="G4" s="3">
        <f>IF(F4&gt;200,200,F4)</f>
        <v/>
      </c>
      <c r="H4" s="2" t="n">
        <v/>
      </c>
      <c r="I4" s="4" t="inlineStr">
        <is>
          <t>21-Jul-79</t>
        </is>
      </c>
    </row>
    <row r="5">
      <c r="A5" s="2" t="inlineStr">
        <is>
          <t>121279412910</t>
        </is>
      </c>
      <c r="B5" s="2" t="inlineStr">
        <is>
          <t>1111999-3</t>
        </is>
      </c>
      <c r="C5" s="5" t="inlineStr">
        <is>
          <t>CORDERO</t>
        </is>
      </c>
      <c r="D5" s="5" t="inlineStr">
        <is>
          <t>KYEZELLE AMOR</t>
        </is>
      </c>
      <c r="E5" s="2" t="inlineStr">
        <is>
          <t>ANGELES</t>
        </is>
      </c>
      <c r="F5" s="3" t="n">
        <v>180.72</v>
      </c>
      <c r="G5" s="3">
        <f>IF(F5&gt;200,200,F5)</f>
        <v/>
      </c>
      <c r="H5" s="2" t="inlineStr">
        <is>
          <t>391-021-642-000</t>
        </is>
      </c>
      <c r="I5" s="4" t="inlineStr">
        <is>
          <t>11-Jan-99</t>
        </is>
      </c>
    </row>
    <row r="6">
      <c r="A6" s="2" t="inlineStr">
        <is>
          <t>121374756422</t>
        </is>
      </c>
      <c r="B6" s="2" t="inlineStr">
        <is>
          <t>662001-2</t>
        </is>
      </c>
      <c r="C6" s="5" t="inlineStr">
        <is>
          <t>ECAT</t>
        </is>
      </c>
      <c r="D6" s="5" t="inlineStr">
        <is>
          <t>FRANCES JOYCE DOYENN</t>
        </is>
      </c>
      <c r="E6" s="2" t="inlineStr">
        <is>
          <t>SARONA</t>
        </is>
      </c>
      <c r="F6" s="3" t="n">
        <v>15.38</v>
      </c>
      <c r="G6" s="3">
        <f>IF(F6&gt;200,200,F6)</f>
        <v/>
      </c>
      <c r="H6" s="2" t="n">
        <v/>
      </c>
      <c r="I6" s="4" t="inlineStr">
        <is>
          <t>06-Jun-01</t>
        </is>
      </c>
    </row>
    <row r="7">
      <c r="A7" s="2" t="inlineStr">
        <is>
          <t>121246473738</t>
        </is>
      </c>
      <c r="B7" s="2" t="inlineStr">
        <is>
          <t>3191999-3</t>
        </is>
      </c>
      <c r="C7" s="5" t="inlineStr">
        <is>
          <t>FORTES</t>
        </is>
      </c>
      <c r="D7" s="5" t="inlineStr">
        <is>
          <t>JOLLIENA</t>
        </is>
      </c>
      <c r="E7" s="2" t="inlineStr">
        <is>
          <t>MACASOJOT</t>
        </is>
      </c>
      <c r="F7" s="3" t="n">
        <v>145.88</v>
      </c>
      <c r="G7" s="3">
        <f>IF(F7&gt;200,200,F7)</f>
        <v/>
      </c>
      <c r="H7" s="2" t="inlineStr">
        <is>
          <t>608-653-664-000</t>
        </is>
      </c>
      <c r="I7" s="4" t="inlineStr">
        <is>
          <t>19-Mar-99</t>
        </is>
      </c>
    </row>
    <row r="8">
      <c r="A8" s="2" t="inlineStr">
        <is>
          <t>121374451700</t>
        </is>
      </c>
      <c r="B8" s="2" t="inlineStr">
        <is>
          <t>12202002-2</t>
        </is>
      </c>
      <c r="C8" s="5" t="inlineStr">
        <is>
          <t>FRANCISCO JR</t>
        </is>
      </c>
      <c r="D8" s="5" t="inlineStr">
        <is>
          <t>JONATHAN</t>
        </is>
      </c>
      <c r="E8" s="2" t="inlineStr">
        <is>
          <t>GUMIA</t>
        </is>
      </c>
      <c r="F8" s="3" t="n">
        <v>184.56</v>
      </c>
      <c r="G8" s="3">
        <f>IF(F8&gt;200,200,F8)</f>
        <v/>
      </c>
      <c r="H8" s="2" t="n">
        <v/>
      </c>
      <c r="I8" s="4" t="inlineStr">
        <is>
          <t>20-Dec-02</t>
        </is>
      </c>
    </row>
    <row r="9">
      <c r="A9" s="2" t="inlineStr">
        <is>
          <t>121282395713</t>
        </is>
      </c>
      <c r="B9" s="2" t="inlineStr">
        <is>
          <t>12121998-3</t>
        </is>
      </c>
      <c r="C9" s="5" t="inlineStr">
        <is>
          <t>GARCIA</t>
        </is>
      </c>
      <c r="D9" s="5" t="inlineStr">
        <is>
          <t>DANIELLA MAY</t>
        </is>
      </c>
      <c r="E9" s="2" t="inlineStr">
        <is>
          <t>SOPLITO</t>
        </is>
      </c>
      <c r="F9" s="3" t="n">
        <v>172.02</v>
      </c>
      <c r="G9" s="3">
        <f>IF(F9&gt;200,200,F9)</f>
        <v/>
      </c>
      <c r="H9" s="2" t="inlineStr">
        <is>
          <t>611667109-000</t>
        </is>
      </c>
      <c r="I9" s="4" t="inlineStr">
        <is>
          <t>12-Dec-98</t>
        </is>
      </c>
    </row>
    <row r="10">
      <c r="A10" s="2" t="inlineStr">
        <is>
          <t>121266467840</t>
        </is>
      </c>
      <c r="B10" s="2" t="inlineStr">
        <is>
          <t>7171997-3</t>
        </is>
      </c>
      <c r="C10" s="5" t="inlineStr">
        <is>
          <t>GIGANTE</t>
        </is>
      </c>
      <c r="D10" s="5" t="inlineStr">
        <is>
          <t>ELIZABETH</t>
        </is>
      </c>
      <c r="E10" s="2" t="inlineStr">
        <is>
          <t>MAGBOO</t>
        </is>
      </c>
      <c r="F10" s="3" t="n">
        <v>160.26</v>
      </c>
      <c r="G10" s="3">
        <f>IF(F10&gt;200,200,F10)</f>
        <v/>
      </c>
      <c r="H10" s="2" t="n">
        <v/>
      </c>
      <c r="I10" s="4" t="inlineStr">
        <is>
          <t>17-Jul-97</t>
        </is>
      </c>
    </row>
    <row r="11">
      <c r="A11" s="11" t="inlineStr">
        <is>
          <t>121290716296</t>
        </is>
      </c>
      <c r="B11" s="11" t="inlineStr">
        <is>
          <t>5102002-3</t>
        </is>
      </c>
      <c r="C11" s="12" t="inlineStr">
        <is>
          <t>GUEVARRA</t>
        </is>
      </c>
      <c r="D11" s="12" t="inlineStr">
        <is>
          <t>JASON</t>
        </is>
      </c>
      <c r="E11" s="11" t="inlineStr">
        <is>
          <t>ORIOSA</t>
        </is>
      </c>
      <c r="F11" s="13" t="n">
        <v>215.32</v>
      </c>
      <c r="G11" s="13">
        <f>IF(F11&gt;200,200,F11)</f>
        <v/>
      </c>
      <c r="H11" s="11" t="inlineStr">
        <is>
          <t>687748291-000</t>
        </is>
      </c>
      <c r="I11" s="14" t="inlineStr">
        <is>
          <t>10-May-02</t>
        </is>
      </c>
    </row>
    <row r="12">
      <c r="A12" s="2" t="inlineStr">
        <is>
          <t>121027771942</t>
        </is>
      </c>
      <c r="B12" s="2" t="inlineStr">
        <is>
          <t>651988-2</t>
        </is>
      </c>
      <c r="C12" s="5" t="inlineStr">
        <is>
          <t>MANECLANG</t>
        </is>
      </c>
      <c r="D12" s="5" t="inlineStr">
        <is>
          <t>MICHAEL</t>
        </is>
      </c>
      <c r="E12" s="2" t="inlineStr">
        <is>
          <t>RELOZA</t>
        </is>
      </c>
      <c r="F12" s="3" t="n">
        <v>112.19</v>
      </c>
      <c r="G12" s="3">
        <f>IF(F12&gt;200,200,F12)</f>
        <v/>
      </c>
      <c r="H12" s="2" t="n">
        <v/>
      </c>
      <c r="I12" s="4" t="inlineStr">
        <is>
          <t>05-Jun-88</t>
        </is>
      </c>
    </row>
    <row r="13">
      <c r="A13" s="2" t="inlineStr">
        <is>
          <t>121140750894</t>
        </is>
      </c>
      <c r="B13" s="2" t="inlineStr">
        <is>
          <t>521991-3</t>
        </is>
      </c>
      <c r="C13" s="5" t="inlineStr">
        <is>
          <t>MANGAZAR</t>
        </is>
      </c>
      <c r="D13" s="5" t="inlineStr">
        <is>
          <t>GLENABEL</t>
        </is>
      </c>
      <c r="E13" s="2" t="inlineStr">
        <is>
          <t>TRAMBULO</t>
        </is>
      </c>
      <c r="F13" s="3" t="n">
        <v>184.56</v>
      </c>
      <c r="G13" s="3">
        <f>IF(F13&gt;200,200,F13)</f>
        <v/>
      </c>
      <c r="H13" s="2" t="inlineStr">
        <is>
          <t>453-568-035-000</t>
        </is>
      </c>
      <c r="I13" s="4" t="inlineStr">
        <is>
          <t>02-May-91</t>
        </is>
      </c>
    </row>
    <row r="14">
      <c r="A14" s="2" t="inlineStr">
        <is>
          <t>121303176250</t>
        </is>
      </c>
      <c r="B14" s="2" t="inlineStr">
        <is>
          <t>1282003-3</t>
        </is>
      </c>
      <c r="C14" s="5" t="inlineStr">
        <is>
          <t>MASCARDO</t>
        </is>
      </c>
      <c r="D14" s="5" t="inlineStr">
        <is>
          <t>HERSHEY</t>
        </is>
      </c>
      <c r="E14" s="2" t="inlineStr">
        <is>
          <t>DELA CRUZ</t>
        </is>
      </c>
      <c r="F14" s="3" t="n">
        <v>130.73</v>
      </c>
      <c r="G14" s="3">
        <f>IF(F14&gt;200,200,F14)</f>
        <v/>
      </c>
      <c r="H14" s="2" t="inlineStr">
        <is>
          <t>511704200-000</t>
        </is>
      </c>
      <c r="I14" s="4" t="inlineStr">
        <is>
          <t>28-Jan-03</t>
        </is>
      </c>
    </row>
    <row r="15">
      <c r="A15" s="2" t="inlineStr">
        <is>
          <t>121293935372</t>
        </is>
      </c>
      <c r="B15" s="2" t="inlineStr">
        <is>
          <t>5261995-3</t>
        </is>
      </c>
      <c r="C15" s="5" t="inlineStr">
        <is>
          <t>MENDOZA</t>
        </is>
      </c>
      <c r="D15" s="5" t="inlineStr">
        <is>
          <t>EAJAY</t>
        </is>
      </c>
      <c r="E15" s="2" t="inlineStr">
        <is>
          <t>PURA</t>
        </is>
      </c>
      <c r="F15" s="3" t="n">
        <v>176.22</v>
      </c>
      <c r="G15" s="3">
        <f>IF(F15&gt;200,200,F15)</f>
        <v/>
      </c>
      <c r="H15" s="2" t="inlineStr">
        <is>
          <t>379-531-760-000</t>
        </is>
      </c>
      <c r="I15" s="4" t="inlineStr">
        <is>
          <t>26-May-95</t>
        </is>
      </c>
    </row>
    <row r="16">
      <c r="A16" s="2" t="inlineStr">
        <is>
          <t>106001993408</t>
        </is>
      </c>
      <c r="B16" s="2" t="inlineStr">
        <is>
          <t>1201974-3</t>
        </is>
      </c>
      <c r="C16" s="5" t="inlineStr">
        <is>
          <t>MONTEMAYOR</t>
        </is>
      </c>
      <c r="D16" s="5" t="inlineStr">
        <is>
          <t>MICHAEL</t>
        </is>
      </c>
      <c r="E16" s="2" t="inlineStr">
        <is>
          <t>FLORES</t>
        </is>
      </c>
      <c r="F16" s="3" t="n">
        <v>176.87</v>
      </c>
      <c r="G16" s="3">
        <f>IF(F16&gt;200,200,F16)</f>
        <v/>
      </c>
      <c r="H16" s="2" t="inlineStr">
        <is>
          <t>146-855-781-000</t>
        </is>
      </c>
      <c r="I16" s="4" t="inlineStr">
        <is>
          <t>20-Jan-74</t>
        </is>
      </c>
    </row>
    <row r="17">
      <c r="A17" s="2" t="inlineStr">
        <is>
          <t>121121739647</t>
        </is>
      </c>
      <c r="B17" s="2" t="inlineStr">
        <is>
          <t>4231994-3</t>
        </is>
      </c>
      <c r="C17" s="5" t="inlineStr">
        <is>
          <t>PLAZA</t>
        </is>
      </c>
      <c r="D17" s="5" t="inlineStr">
        <is>
          <t>JOVEN</t>
        </is>
      </c>
      <c r="E17" s="2" t="inlineStr">
        <is>
          <t>HILONGO</t>
        </is>
      </c>
      <c r="F17" s="3" t="n">
        <v>106.35</v>
      </c>
      <c r="G17" s="3">
        <f>IF(F17&gt;200,200,F17)</f>
        <v/>
      </c>
      <c r="H17" s="2" t="n">
        <v/>
      </c>
      <c r="I17" s="4" t="inlineStr">
        <is>
          <t>23-Apr-94</t>
        </is>
      </c>
    </row>
    <row r="18">
      <c r="A18" s="2" t="inlineStr">
        <is>
          <t>121282622458</t>
        </is>
      </c>
      <c r="B18" s="2" t="inlineStr">
        <is>
          <t>9152000-3</t>
        </is>
      </c>
      <c r="C18" s="5" t="inlineStr">
        <is>
          <t>RANES</t>
        </is>
      </c>
      <c r="D18" s="5" t="inlineStr">
        <is>
          <t>AINAH MARIE</t>
        </is>
      </c>
      <c r="E18" s="2" t="inlineStr">
        <is>
          <t>MACAPAGAL</t>
        </is>
      </c>
      <c r="F18" s="3" t="n">
        <v>176.87</v>
      </c>
      <c r="G18" s="3">
        <f>IF(F18&gt;200,200,F18)</f>
        <v/>
      </c>
      <c r="H18" s="2" t="inlineStr">
        <is>
          <t>393-148-269-000</t>
        </is>
      </c>
      <c r="I18" s="4" t="inlineStr">
        <is>
          <t>15-Sep-00</t>
        </is>
      </c>
    </row>
    <row r="19">
      <c r="A19" s="2" t="inlineStr">
        <is>
          <t>121271160408</t>
        </is>
      </c>
      <c r="B19" s="2" t="inlineStr">
        <is>
          <t>6151998-2</t>
        </is>
      </c>
      <c r="C19" s="5" t="inlineStr">
        <is>
          <t>SALES</t>
        </is>
      </c>
      <c r="D19" s="5" t="inlineStr">
        <is>
          <t>MAICA</t>
        </is>
      </c>
      <c r="E19" s="2" t="n">
        <v/>
      </c>
      <c r="F19" s="3" t="n">
        <v>192.25</v>
      </c>
      <c r="G19" s="3">
        <f>IF(F19&gt;200,200,F19)</f>
        <v/>
      </c>
      <c r="H19" s="2" t="n">
        <v/>
      </c>
      <c r="I19" s="4" t="inlineStr">
        <is>
          <t>15-Jun-98</t>
        </is>
      </c>
    </row>
    <row r="20">
      <c r="A20" s="2" t="inlineStr">
        <is>
          <t>106001995230</t>
        </is>
      </c>
      <c r="B20" s="2" t="inlineStr">
        <is>
          <t>411981-2</t>
        </is>
      </c>
      <c r="C20" s="5" t="inlineStr">
        <is>
          <t>SEMBRANO</t>
        </is>
      </c>
      <c r="D20" s="5" t="inlineStr">
        <is>
          <t>JOEY</t>
        </is>
      </c>
      <c r="E20" s="2" t="inlineStr">
        <is>
          <t>BANTILLO</t>
        </is>
      </c>
      <c r="F20" s="3" t="n">
        <v>184.56</v>
      </c>
      <c r="G20" s="3">
        <f>IF(F20&gt;200,200,F20)</f>
        <v/>
      </c>
      <c r="H20" s="2" t="n">
        <v/>
      </c>
      <c r="I20" s="4" t="inlineStr">
        <is>
          <t>01-Apr-81</t>
        </is>
      </c>
    </row>
    <row r="21">
      <c r="A21" s="2" t="inlineStr">
        <is>
          <t>105002002728</t>
        </is>
      </c>
      <c r="B21" s="2" t="inlineStr">
        <is>
          <t>221982-3</t>
        </is>
      </c>
      <c r="C21" s="5" t="inlineStr">
        <is>
          <t>TABUZO</t>
        </is>
      </c>
      <c r="D21" s="5" t="inlineStr">
        <is>
          <t>ALBERT</t>
        </is>
      </c>
      <c r="E21" s="2" t="inlineStr">
        <is>
          <t>TOLIBAS</t>
        </is>
      </c>
      <c r="F21" s="3" t="n">
        <v>183.33</v>
      </c>
      <c r="G21" s="3">
        <f>IF(F21&gt;200,200,F21)</f>
        <v/>
      </c>
      <c r="H21" s="2" t="inlineStr">
        <is>
          <t>221-768-046-000</t>
        </is>
      </c>
      <c r="I21" s="4" t="inlineStr">
        <is>
          <t>02-Feb-82</t>
        </is>
      </c>
    </row>
    <row r="22">
      <c r="A22" s="2" t="inlineStr">
        <is>
          <t>121146494251</t>
        </is>
      </c>
      <c r="B22" s="2" t="inlineStr">
        <is>
          <t>9301985-2</t>
        </is>
      </c>
      <c r="C22" s="5" t="inlineStr">
        <is>
          <t>VILLALUZ</t>
        </is>
      </c>
      <c r="D22" s="5" t="inlineStr">
        <is>
          <t>RAYMOND</t>
        </is>
      </c>
      <c r="E22" s="2" t="inlineStr">
        <is>
          <t>DELA CRUZ</t>
        </is>
      </c>
      <c r="F22" s="3" t="n">
        <v>112.04</v>
      </c>
      <c r="G22" s="3">
        <f>IF(F22&gt;200,200,F22)</f>
        <v/>
      </c>
      <c r="H22" s="2" t="n">
        <v/>
      </c>
      <c r="I22" s="4" t="inlineStr">
        <is>
          <t>30-Sep-85</t>
        </is>
      </c>
    </row>
    <row r="23"/>
    <row r="24"/>
    <row r="25">
      <c r="A25" s="8" t="inlineStr">
        <is>
          <t>Total</t>
        </is>
      </c>
      <c r="B25" s="9" t="n"/>
      <c r="C25" s="9" t="n"/>
      <c r="D25" s="9" t="n"/>
      <c r="E25" s="9" t="n"/>
      <c r="F25" s="10">
        <f>SUM(F2:F22)</f>
        <v/>
      </c>
      <c r="G25" s="10">
        <f>SUM(G2:G22)</f>
        <v/>
      </c>
      <c r="H25" s="9" t="n"/>
      <c r="I25" s="9" t="n"/>
    </row>
    <row r="26">
      <c r="E26" s="8" t="inlineStr">
        <is>
          <t>GRAND TOTAL</t>
        </is>
      </c>
      <c r="G26" s="10">
        <f>F25+G25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14" customWidth="1" min="4" max="4"/>
    <col width="19" customWidth="1" min="5" max="5"/>
    <col width="13" customWidth="1" min="6" max="6"/>
    <col width="17" customWidth="1" min="7" max="7"/>
    <col width="17" customWidth="1" min="8" max="8"/>
    <col width="17" customWidth="1" min="9" max="9"/>
    <col width="17" customWidth="1" min="10" max="10"/>
    <col width="19" customWidth="1" min="11" max="11"/>
    <col width="17" customWidth="1" min="12" max="12"/>
    <col width="19" customWidth="1" min="13" max="13"/>
    <col width="13" customWidth="1" min="14" max="14"/>
    <col width="28" customWidth="1" min="15" max="15"/>
  </cols>
  <sheetData>
    <row r="1">
      <c r="A1" s="1" t="inlineStr">
        <is>
          <t>sssno</t>
        </is>
      </c>
      <c r="B1" s="1" t="inlineStr">
        <is>
          <t>lastname</t>
        </is>
      </c>
      <c r="C1" s="1" t="inlineStr">
        <is>
          <t>firstname</t>
        </is>
      </c>
      <c r="D1" s="1" t="inlineStr">
        <is>
          <t>middlename</t>
        </is>
      </c>
      <c r="E1" s="1" t="inlineStr">
        <is>
          <t>Monthly Salary</t>
        </is>
      </c>
      <c r="F1" s="1" t="inlineStr">
        <is>
          <t>birthdate</t>
        </is>
      </c>
      <c r="G1" s="1" t="inlineStr">
        <is>
          <t>sss</t>
        </is>
      </c>
      <c r="H1" s="1" t="inlineStr">
        <is>
          <t>ee</t>
        </is>
      </c>
      <c r="I1" s="1" t="inlineStr">
        <is>
          <t>ee ded</t>
        </is>
      </c>
      <c r="J1" s="1" t="inlineStr">
        <is>
          <t>ershare</t>
        </is>
      </c>
      <c r="K1" s="1" t="inlineStr">
        <is>
          <t>sssrem</t>
        </is>
      </c>
      <c r="L1" s="1" t="inlineStr">
        <is>
          <t>er</t>
        </is>
      </c>
      <c r="M1" s="1" t="inlineStr">
        <is>
          <t>totalsssrem</t>
        </is>
      </c>
      <c r="N1" s="1" t="inlineStr">
        <is>
          <t>datehired</t>
        </is>
      </c>
      <c r="O1" s="1" t="inlineStr">
        <is>
          <t>position</t>
        </is>
      </c>
    </row>
    <row r="2">
      <c r="A2" s="2" t="inlineStr">
        <is>
          <t>0829176937</t>
        </is>
      </c>
      <c r="B2" s="5" t="inlineStr">
        <is>
          <t>AGUILLOSO</t>
        </is>
      </c>
      <c r="C2" s="5" t="inlineStr">
        <is>
          <t>CYRENE MAE</t>
        </is>
      </c>
      <c r="D2" s="2" t="inlineStr">
        <is>
          <t>DONAIRE</t>
        </is>
      </c>
      <c r="E2" s="3">
        <f>K2/0.15</f>
        <v/>
      </c>
      <c r="F2" s="4" t="inlineStr">
        <is>
          <t>02-May-98</t>
        </is>
      </c>
      <c r="G2" s="3" t="n">
        <v>872.9400000000001</v>
      </c>
      <c r="H2" s="3" t="n">
        <v>850</v>
      </c>
      <c r="I2" s="6" t="inlineStr"/>
      <c r="J2" s="3" t="n">
        <v>1700</v>
      </c>
      <c r="K2" s="3" t="n">
        <v>2550</v>
      </c>
      <c r="L2" s="3" t="n">
        <v>30</v>
      </c>
      <c r="M2" s="3">
        <f>K2+L2</f>
        <v/>
      </c>
      <c r="N2" s="4" t="inlineStr">
        <is>
          <t>28-Jun-21</t>
        </is>
      </c>
      <c r="O2" s="5" t="inlineStr">
        <is>
          <t>BARCODER</t>
        </is>
      </c>
    </row>
    <row r="3">
      <c r="A3" s="11" t="inlineStr">
        <is>
          <t>3409441021</t>
        </is>
      </c>
      <c r="B3" s="12" t="inlineStr">
        <is>
          <t>ANGELES</t>
        </is>
      </c>
      <c r="C3" s="12" t="inlineStr">
        <is>
          <t>FREDDIE</t>
        </is>
      </c>
      <c r="D3" s="11" t="inlineStr">
        <is>
          <t>BARTOLOME</t>
        </is>
      </c>
      <c r="E3" s="13">
        <f>K3/0.15</f>
        <v/>
      </c>
      <c r="F3" s="14" t="inlineStr">
        <is>
          <t>11-Sep-82</t>
        </is>
      </c>
      <c r="G3" s="13" t="n">
        <v>1021.29</v>
      </c>
      <c r="H3" s="13" t="n">
        <v>1000</v>
      </c>
      <c r="I3" s="15" t="inlineStr"/>
      <c r="J3" s="13" t="n">
        <v>2000</v>
      </c>
      <c r="K3" s="13" t="n">
        <v>3000</v>
      </c>
      <c r="L3" s="13" t="n">
        <v>30</v>
      </c>
      <c r="M3" s="13">
        <f>K3+L3</f>
        <v/>
      </c>
      <c r="N3" s="14" t="inlineStr">
        <is>
          <t>05-Feb-26</t>
        </is>
      </c>
      <c r="O3" s="12" t="inlineStr">
        <is>
          <t>PRODUCTION WELDER</t>
        </is>
      </c>
    </row>
    <row r="4">
      <c r="A4" s="2" t="inlineStr">
        <is>
          <t>3353411592</t>
        </is>
      </c>
      <c r="B4" s="5" t="inlineStr">
        <is>
          <t>ARDABAN JR</t>
        </is>
      </c>
      <c r="C4" s="5" t="inlineStr">
        <is>
          <t>RODRIGO</t>
        </is>
      </c>
      <c r="D4" s="2" t="inlineStr">
        <is>
          <t>AMOLO</t>
        </is>
      </c>
      <c r="E4" s="3">
        <f>K4/0.15</f>
        <v/>
      </c>
      <c r="F4" s="4" t="inlineStr">
        <is>
          <t>21-Jul-79</t>
        </is>
      </c>
      <c r="G4" s="3" t="n">
        <v>908.67</v>
      </c>
      <c r="H4" s="3" t="n">
        <v>900</v>
      </c>
      <c r="I4" s="6" t="inlineStr"/>
      <c r="J4" s="3" t="n">
        <v>1800</v>
      </c>
      <c r="K4" s="3" t="n">
        <v>2700</v>
      </c>
      <c r="L4" s="3" t="n">
        <v>30</v>
      </c>
      <c r="M4" s="3">
        <f>K4+L4</f>
        <v/>
      </c>
      <c r="N4" s="4" t="inlineStr">
        <is>
          <t>08-Mar-10</t>
        </is>
      </c>
      <c r="O4" s="3" t="n">
        <v/>
      </c>
    </row>
    <row r="5">
      <c r="A5" s="2" t="inlineStr">
        <is>
          <t>3498914022</t>
        </is>
      </c>
      <c r="B5" s="5" t="inlineStr">
        <is>
          <t>CORDERO</t>
        </is>
      </c>
      <c r="C5" s="5" t="inlineStr">
        <is>
          <t>KYEZELLE AMOR</t>
        </is>
      </c>
      <c r="D5" s="2" t="inlineStr">
        <is>
          <t>ANGELES</t>
        </is>
      </c>
      <c r="E5" s="3">
        <f>K5/0.15</f>
        <v/>
      </c>
      <c r="F5" s="4" t="inlineStr">
        <is>
          <t>11-Jan-99</t>
        </is>
      </c>
      <c r="G5" s="3" t="n">
        <v>813.5700000000001</v>
      </c>
      <c r="H5" s="3" t="n">
        <v>800</v>
      </c>
      <c r="I5" s="6" t="inlineStr"/>
      <c r="J5" s="3" t="n">
        <v>1600</v>
      </c>
      <c r="K5" s="3" t="n">
        <v>2400</v>
      </c>
      <c r="L5" s="3" t="n">
        <v>30</v>
      </c>
      <c r="M5" s="3">
        <f>K5+L5</f>
        <v/>
      </c>
      <c r="N5" s="4" t="inlineStr">
        <is>
          <t>02-Dec-24</t>
        </is>
      </c>
      <c r="O5" s="5" t="inlineStr">
        <is>
          <t>RETAIL ACCOUNT EXECUTIVE</t>
        </is>
      </c>
    </row>
    <row r="6">
      <c r="A6" s="2" t="inlineStr">
        <is>
          <t>3514727012</t>
        </is>
      </c>
      <c r="B6" s="5" t="inlineStr">
        <is>
          <t>ECAT</t>
        </is>
      </c>
      <c r="C6" s="5" t="inlineStr">
        <is>
          <t>FRANCES JOYCE DOYENN</t>
        </is>
      </c>
      <c r="D6" s="2" t="inlineStr">
        <is>
          <t>SARONA</t>
        </is>
      </c>
      <c r="E6" s="3">
        <f>K6/0.15</f>
        <v/>
      </c>
      <c r="F6" s="4" t="inlineStr">
        <is>
          <t>06-Jun-01</t>
        </is>
      </c>
      <c r="G6" s="3" t="n">
        <v>69.23999999999999</v>
      </c>
      <c r="H6" s="3" t="n">
        <v>0</v>
      </c>
      <c r="I6" s="7">
        <f>250-G6</f>
        <v/>
      </c>
      <c r="J6" s="3" t="n">
        <v>500</v>
      </c>
      <c r="K6" s="3" t="n">
        <v>750</v>
      </c>
      <c r="L6" s="3" t="n">
        <v>10</v>
      </c>
      <c r="M6" s="3">
        <f>K6+L6</f>
        <v/>
      </c>
      <c r="N6" s="4" t="inlineStr">
        <is>
          <t>16-Oct-25</t>
        </is>
      </c>
      <c r="O6" s="5" t="inlineStr">
        <is>
          <t>PRODUCTION WELD</t>
        </is>
      </c>
    </row>
    <row r="7">
      <c r="A7" s="2" t="inlineStr">
        <is>
          <t>3474859318</t>
        </is>
      </c>
      <c r="B7" s="5" t="inlineStr">
        <is>
          <t>FORTES</t>
        </is>
      </c>
      <c r="C7" s="5" t="inlineStr">
        <is>
          <t>JOLLIENA</t>
        </is>
      </c>
      <c r="D7" s="2" t="inlineStr">
        <is>
          <t>MACASOJOT</t>
        </is>
      </c>
      <c r="E7" s="3">
        <f>K7/0.15</f>
        <v/>
      </c>
      <c r="F7" s="4" t="inlineStr">
        <is>
          <t>19-Mar-99</t>
        </is>
      </c>
      <c r="G7" s="3" t="n">
        <v>693.16</v>
      </c>
      <c r="H7" s="3" t="n">
        <v>675</v>
      </c>
      <c r="I7" s="6" t="inlineStr"/>
      <c r="J7" s="3" t="n">
        <v>1350</v>
      </c>
      <c r="K7" s="3" t="n">
        <v>2025</v>
      </c>
      <c r="L7" s="3" t="n">
        <v>10</v>
      </c>
      <c r="M7" s="3">
        <f>K7+L7</f>
        <v/>
      </c>
      <c r="N7" s="4" t="inlineStr">
        <is>
          <t>08-Feb-23</t>
        </is>
      </c>
      <c r="O7" s="5" t="inlineStr">
        <is>
          <t>WAREHOUSE STAFF</t>
        </is>
      </c>
    </row>
    <row r="8">
      <c r="A8" s="2" t="inlineStr">
        <is>
          <t>0251371216</t>
        </is>
      </c>
      <c r="B8" s="5" t="inlineStr">
        <is>
          <t>FRANCISCO JR</t>
        </is>
      </c>
      <c r="C8" s="5" t="inlineStr">
        <is>
          <t>JONATHAN</t>
        </is>
      </c>
      <c r="D8" s="2" t="inlineStr">
        <is>
          <t>GUMIA</t>
        </is>
      </c>
      <c r="E8" s="3">
        <f>K8/0.15</f>
        <v/>
      </c>
      <c r="F8" s="4" t="inlineStr">
        <is>
          <t>20-Dec-02</t>
        </is>
      </c>
      <c r="G8" s="3" t="n">
        <v>830.88</v>
      </c>
      <c r="H8" s="3" t="n">
        <v>825</v>
      </c>
      <c r="I8" s="6" t="inlineStr"/>
      <c r="J8" s="3" t="n">
        <v>1650</v>
      </c>
      <c r="K8" s="3" t="n">
        <v>2475</v>
      </c>
      <c r="L8" s="3" t="n">
        <v>30</v>
      </c>
      <c r="M8" s="3">
        <f>K8+L8</f>
        <v/>
      </c>
      <c r="N8" s="4" t="inlineStr">
        <is>
          <t>16-Oct-25</t>
        </is>
      </c>
      <c r="O8" s="5" t="inlineStr">
        <is>
          <t>WELDER</t>
        </is>
      </c>
    </row>
    <row r="9">
      <c r="A9" s="2" t="inlineStr">
        <is>
          <t>3467578062</t>
        </is>
      </c>
      <c r="B9" s="5" t="inlineStr">
        <is>
          <t>GARCIA</t>
        </is>
      </c>
      <c r="C9" s="5" t="inlineStr">
        <is>
          <t>DANIELLA MAY</t>
        </is>
      </c>
      <c r="D9" s="2" t="inlineStr">
        <is>
          <t>SOPLITO</t>
        </is>
      </c>
      <c r="E9" s="3">
        <f>K9/0.15</f>
        <v/>
      </c>
      <c r="F9" s="4" t="inlineStr">
        <is>
          <t>12-Dec-98</t>
        </is>
      </c>
      <c r="G9" s="3" t="n">
        <v>774.45</v>
      </c>
      <c r="H9" s="3" t="n">
        <v>750</v>
      </c>
      <c r="I9" s="6" t="inlineStr"/>
      <c r="J9" s="3" t="n">
        <v>1500</v>
      </c>
      <c r="K9" s="3" t="n">
        <v>2250</v>
      </c>
      <c r="L9" s="3" t="n">
        <v>30</v>
      </c>
      <c r="M9" s="3">
        <f>K9+L9</f>
        <v/>
      </c>
      <c r="N9" s="4" t="inlineStr">
        <is>
          <t>07-Mar-25</t>
        </is>
      </c>
      <c r="O9" s="5" t="inlineStr">
        <is>
          <t>RETAIL ACCOUNT EXECUTIVE</t>
        </is>
      </c>
    </row>
    <row r="10">
      <c r="A10" s="2" t="inlineStr">
        <is>
          <t>3491444816</t>
        </is>
      </c>
      <c r="B10" s="5" t="inlineStr">
        <is>
          <t>GIGANTE</t>
        </is>
      </c>
      <c r="C10" s="5" t="inlineStr">
        <is>
          <t>ELIZABETH</t>
        </is>
      </c>
      <c r="D10" s="2" t="inlineStr">
        <is>
          <t>MAGBOO</t>
        </is>
      </c>
      <c r="E10" s="3">
        <f>K10/0.15</f>
        <v/>
      </c>
      <c r="F10" s="4" t="inlineStr">
        <is>
          <t>17-Jul-97</t>
        </is>
      </c>
      <c r="G10" s="3" t="n">
        <v>741.49</v>
      </c>
      <c r="H10" s="3" t="n">
        <v>725</v>
      </c>
      <c r="I10" s="6" t="inlineStr"/>
      <c r="J10" s="3" t="n">
        <v>1450</v>
      </c>
      <c r="K10" s="3" t="n">
        <v>2175</v>
      </c>
      <c r="L10" s="3" t="n">
        <v>10</v>
      </c>
      <c r="M10" s="3">
        <f>K10+L10</f>
        <v/>
      </c>
      <c r="N10" s="4" t="inlineStr">
        <is>
          <t>07-Jan-23</t>
        </is>
      </c>
      <c r="O10" s="5" t="inlineStr">
        <is>
          <t>RETAIL ACCOUNT EXECUTIVE</t>
        </is>
      </c>
    </row>
    <row r="11">
      <c r="A11" s="2" t="inlineStr">
        <is>
          <t>3540802626</t>
        </is>
      </c>
      <c r="B11" s="5" t="inlineStr">
        <is>
          <t>GUEVARRA</t>
        </is>
      </c>
      <c r="C11" s="5" t="inlineStr">
        <is>
          <t>JASON</t>
        </is>
      </c>
      <c r="D11" s="2" t="inlineStr">
        <is>
          <t>ORIOSA</t>
        </is>
      </c>
      <c r="E11" s="3">
        <f>K11/0.15</f>
        <v/>
      </c>
      <c r="F11" s="4" t="inlineStr">
        <is>
          <t>10-May-02</t>
        </is>
      </c>
      <c r="G11" s="3" t="n">
        <v>969.36</v>
      </c>
      <c r="H11" s="3" t="n">
        <v>950</v>
      </c>
      <c r="I11" s="6" t="inlineStr"/>
      <c r="J11" s="3" t="n">
        <v>1900</v>
      </c>
      <c r="K11" s="3" t="n">
        <v>2850</v>
      </c>
      <c r="L11" s="3" t="n">
        <v>30</v>
      </c>
      <c r="M11" s="3">
        <f>K11+L11</f>
        <v/>
      </c>
      <c r="N11" s="4" t="inlineStr">
        <is>
          <t>26-Nov-25</t>
        </is>
      </c>
      <c r="O11" s="5" t="inlineStr">
        <is>
          <t>PRODUCTION WELDER</t>
        </is>
      </c>
    </row>
    <row r="12">
      <c r="A12" s="2" t="inlineStr">
        <is>
          <t>0225189311</t>
        </is>
      </c>
      <c r="B12" s="5" t="inlineStr">
        <is>
          <t>MANECLANG</t>
        </is>
      </c>
      <c r="C12" s="5" t="inlineStr">
        <is>
          <t>MICHAEL</t>
        </is>
      </c>
      <c r="D12" s="2" t="inlineStr">
        <is>
          <t>RELOZA</t>
        </is>
      </c>
      <c r="E12" s="3">
        <f>K12/0.15</f>
        <v/>
      </c>
      <c r="F12" s="4" t="inlineStr">
        <is>
          <t>05-Jun-88</t>
        </is>
      </c>
      <c r="G12" s="3" t="n">
        <v>364.75</v>
      </c>
      <c r="H12" s="3" t="n">
        <v>350</v>
      </c>
      <c r="I12" s="6" t="inlineStr"/>
      <c r="J12" s="3" t="n">
        <v>700</v>
      </c>
      <c r="K12" s="3" t="n">
        <v>1050</v>
      </c>
      <c r="L12" s="3" t="n">
        <v>10</v>
      </c>
      <c r="M12" s="3">
        <f>K12+L12</f>
        <v/>
      </c>
      <c r="N12" s="4" t="inlineStr">
        <is>
          <t>23-Aug-16</t>
        </is>
      </c>
      <c r="O12" s="5" t="inlineStr">
        <is>
          <t>SALES REPRESENT</t>
        </is>
      </c>
    </row>
    <row r="13">
      <c r="A13" s="11" t="inlineStr">
        <is>
          <t>3445807713</t>
        </is>
      </c>
      <c r="B13" s="12" t="inlineStr">
        <is>
          <t>MANGAZAR</t>
        </is>
      </c>
      <c r="C13" s="12" t="inlineStr">
        <is>
          <t>GLENABEL</t>
        </is>
      </c>
      <c r="D13" s="11" t="inlineStr">
        <is>
          <t>TRAMBULO</t>
        </is>
      </c>
      <c r="E13" s="13">
        <f>K13/0.15</f>
        <v/>
      </c>
      <c r="F13" s="14" t="inlineStr">
        <is>
          <t>02-May-91</t>
        </is>
      </c>
      <c r="G13" s="13" t="n">
        <v>1061.52</v>
      </c>
      <c r="H13" s="13" t="n">
        <v>1000</v>
      </c>
      <c r="I13" s="15" t="inlineStr"/>
      <c r="J13" s="13" t="n">
        <v>2000</v>
      </c>
      <c r="K13" s="13" t="n">
        <v>3000</v>
      </c>
      <c r="L13" s="13" t="n">
        <v>30</v>
      </c>
      <c r="M13" s="13">
        <f>K13+L13</f>
        <v/>
      </c>
      <c r="N13" s="14" t="inlineStr">
        <is>
          <t>27-Mar-15</t>
        </is>
      </c>
      <c r="O13" s="12" t="inlineStr">
        <is>
          <t>EXECUTIVE ASSIS</t>
        </is>
      </c>
    </row>
    <row r="14">
      <c r="A14" s="2" t="inlineStr">
        <is>
          <t>3513447526</t>
        </is>
      </c>
      <c r="B14" s="5" t="inlineStr">
        <is>
          <t>MASCARDO</t>
        </is>
      </c>
      <c r="C14" s="5" t="inlineStr">
        <is>
          <t>HERSHEY</t>
        </is>
      </c>
      <c r="D14" s="2" t="inlineStr">
        <is>
          <t>DELA CRUZ</t>
        </is>
      </c>
      <c r="E14" s="3">
        <f>K14/0.15</f>
        <v/>
      </c>
      <c r="F14" s="4" t="inlineStr">
        <is>
          <t>28-Jan-03</t>
        </is>
      </c>
      <c r="G14" s="3" t="n">
        <v>588.54</v>
      </c>
      <c r="H14" s="3" t="n">
        <v>575</v>
      </c>
      <c r="I14" s="6" t="inlineStr"/>
      <c r="J14" s="3" t="n">
        <v>1150</v>
      </c>
      <c r="K14" s="3" t="n">
        <v>1725</v>
      </c>
      <c r="L14" s="3" t="n">
        <v>10</v>
      </c>
      <c r="M14" s="3">
        <f>K14+L14</f>
        <v/>
      </c>
      <c r="N14" s="4" t="inlineStr">
        <is>
          <t>05-Feb-26</t>
        </is>
      </c>
      <c r="O14" s="5" t="inlineStr">
        <is>
          <t>RETAIL ACCOUNT EXECUTIVE</t>
        </is>
      </c>
    </row>
    <row r="15">
      <c r="A15" s="2" t="inlineStr">
        <is>
          <t>3470988034</t>
        </is>
      </c>
      <c r="B15" s="5" t="inlineStr">
        <is>
          <t>MENDOZA</t>
        </is>
      </c>
      <c r="C15" s="5" t="inlineStr">
        <is>
          <t>EAJAY</t>
        </is>
      </c>
      <c r="D15" s="2" t="inlineStr">
        <is>
          <t>PURA</t>
        </is>
      </c>
      <c r="E15" s="3">
        <f>K15/0.15</f>
        <v/>
      </c>
      <c r="F15" s="4" t="inlineStr">
        <is>
          <t>26-May-95</t>
        </is>
      </c>
      <c r="G15" s="3" t="n">
        <v>793.3200000000001</v>
      </c>
      <c r="H15" s="3" t="n">
        <v>775</v>
      </c>
      <c r="I15" s="6" t="inlineStr"/>
      <c r="J15" s="3" t="n">
        <v>1550</v>
      </c>
      <c r="K15" s="3" t="n">
        <v>2325</v>
      </c>
      <c r="L15" s="3" t="n">
        <v>30</v>
      </c>
      <c r="M15" s="3">
        <f>K15+L15</f>
        <v/>
      </c>
      <c r="N15" s="4" t="inlineStr">
        <is>
          <t>06-Sep-22</t>
        </is>
      </c>
      <c r="O15" s="5" t="inlineStr">
        <is>
          <t>WELDER</t>
        </is>
      </c>
    </row>
    <row r="16">
      <c r="A16" s="2" t="inlineStr">
        <is>
          <t>3346339254</t>
        </is>
      </c>
      <c r="B16" s="5" t="inlineStr">
        <is>
          <t>MONTEMAYOR</t>
        </is>
      </c>
      <c r="C16" s="5" t="inlineStr">
        <is>
          <t>MICHAEL</t>
        </is>
      </c>
      <c r="D16" s="2" t="inlineStr">
        <is>
          <t>FLORES</t>
        </is>
      </c>
      <c r="E16" s="3">
        <f>K16/0.15</f>
        <v/>
      </c>
      <c r="F16" s="4" t="inlineStr">
        <is>
          <t>20-Jan-74</t>
        </is>
      </c>
      <c r="G16" s="3" t="n">
        <v>663.55</v>
      </c>
      <c r="H16" s="3" t="n">
        <v>650</v>
      </c>
      <c r="I16" s="6" t="inlineStr"/>
      <c r="J16" s="3" t="n">
        <v>1300</v>
      </c>
      <c r="K16" s="3" t="n">
        <v>1950</v>
      </c>
      <c r="L16" s="3" t="n">
        <v>10</v>
      </c>
      <c r="M16" s="3">
        <f>K16+L16</f>
        <v/>
      </c>
      <c r="N16" s="4" t="inlineStr">
        <is>
          <t>05-Sep-06</t>
        </is>
      </c>
      <c r="O16" s="5" t="inlineStr">
        <is>
          <t>SALES AGENT</t>
        </is>
      </c>
    </row>
    <row r="17">
      <c r="A17" s="2" t="inlineStr">
        <is>
          <t>3441441319</t>
        </is>
      </c>
      <c r="B17" s="5" t="inlineStr">
        <is>
          <t>PLAZA</t>
        </is>
      </c>
      <c r="C17" s="5" t="inlineStr">
        <is>
          <t>JOVEN</t>
        </is>
      </c>
      <c r="D17" s="2" t="inlineStr">
        <is>
          <t>HILONGO</t>
        </is>
      </c>
      <c r="E17" s="3">
        <f>K17/0.15</f>
        <v/>
      </c>
      <c r="F17" s="4" t="inlineStr">
        <is>
          <t>23-Apr-94</t>
        </is>
      </c>
      <c r="G17" s="3" t="n">
        <v>492.07</v>
      </c>
      <c r="H17" s="3" t="n">
        <v>475</v>
      </c>
      <c r="I17" s="6" t="inlineStr"/>
      <c r="J17" s="3" t="n">
        <v>950</v>
      </c>
      <c r="K17" s="3" t="n">
        <v>1425</v>
      </c>
      <c r="L17" s="3" t="n">
        <v>10</v>
      </c>
      <c r="M17" s="3">
        <f>K17+L17</f>
        <v/>
      </c>
      <c r="N17" s="4" t="inlineStr">
        <is>
          <t>04-Mar-21</t>
        </is>
      </c>
      <c r="O17" s="5" t="inlineStr">
        <is>
          <t>WAREHOUSE PICKE</t>
        </is>
      </c>
    </row>
    <row r="18">
      <c r="A18" s="2" t="inlineStr">
        <is>
          <t>3504846194</t>
        </is>
      </c>
      <c r="B18" s="5" t="inlineStr">
        <is>
          <t>RANES</t>
        </is>
      </c>
      <c r="C18" s="5" t="inlineStr">
        <is>
          <t>AINAH MARIE</t>
        </is>
      </c>
      <c r="D18" s="2" t="inlineStr">
        <is>
          <t>MACAPAGAL</t>
        </is>
      </c>
      <c r="E18" s="3">
        <f>K18/0.15</f>
        <v/>
      </c>
      <c r="F18" s="4" t="inlineStr">
        <is>
          <t>15-Sep-00</t>
        </is>
      </c>
      <c r="G18" s="3" t="n">
        <v>796.26</v>
      </c>
      <c r="H18" s="3" t="n">
        <v>775</v>
      </c>
      <c r="I18" s="6" t="inlineStr"/>
      <c r="J18" s="3" t="n">
        <v>1550</v>
      </c>
      <c r="K18" s="3" t="n">
        <v>2325</v>
      </c>
      <c r="L18" s="3" t="n">
        <v>30</v>
      </c>
      <c r="M18" s="3">
        <f>K18+L18</f>
        <v/>
      </c>
      <c r="N18" s="4" t="inlineStr">
        <is>
          <t>28-Apr-26</t>
        </is>
      </c>
      <c r="O18" s="5" t="inlineStr">
        <is>
          <t>SALES REPRESENTATIVE</t>
        </is>
      </c>
    </row>
    <row r="19">
      <c r="A19" s="2" t="inlineStr">
        <is>
          <t>3494131087</t>
        </is>
      </c>
      <c r="B19" s="5" t="inlineStr">
        <is>
          <t>SALES</t>
        </is>
      </c>
      <c r="C19" s="5" t="inlineStr">
        <is>
          <t>MAICA</t>
        </is>
      </c>
      <c r="D19" s="2" t="n">
        <v/>
      </c>
      <c r="E19" s="3">
        <f>K19/0.15</f>
        <v/>
      </c>
      <c r="F19" s="4" t="inlineStr">
        <is>
          <t>15-Jun-98</t>
        </is>
      </c>
      <c r="G19" s="3" t="n">
        <v>865.5</v>
      </c>
      <c r="H19" s="3" t="n">
        <v>850</v>
      </c>
      <c r="I19" s="6" t="inlineStr"/>
      <c r="J19" s="3" t="n">
        <v>1700</v>
      </c>
      <c r="K19" s="3" t="n">
        <v>2550</v>
      </c>
      <c r="L19" s="3" t="n">
        <v>30</v>
      </c>
      <c r="M19" s="3">
        <f>K19+L19</f>
        <v/>
      </c>
      <c r="N19" s="4" t="inlineStr">
        <is>
          <t>21-May-25</t>
        </is>
      </c>
      <c r="O19" s="5" t="inlineStr">
        <is>
          <t>RETAIL ACCOUNT EXECUTIVE</t>
        </is>
      </c>
    </row>
    <row r="20">
      <c r="A20" s="2" t="inlineStr">
        <is>
          <t>0114772761</t>
        </is>
      </c>
      <c r="B20" s="5" t="inlineStr">
        <is>
          <t>SEMBRANO</t>
        </is>
      </c>
      <c r="C20" s="5" t="inlineStr">
        <is>
          <t>JOEY</t>
        </is>
      </c>
      <c r="D20" s="2" t="inlineStr">
        <is>
          <t>BANTILLO</t>
        </is>
      </c>
      <c r="E20" s="3">
        <f>K20/0.15</f>
        <v/>
      </c>
      <c r="F20" s="4" t="inlineStr">
        <is>
          <t>01-Apr-81</t>
        </is>
      </c>
      <c r="G20" s="3" t="n">
        <v>969.12</v>
      </c>
      <c r="H20" s="3" t="n">
        <v>950</v>
      </c>
      <c r="I20" s="6" t="inlineStr"/>
      <c r="J20" s="3" t="n">
        <v>1900</v>
      </c>
      <c r="K20" s="3" t="n">
        <v>2850</v>
      </c>
      <c r="L20" s="3" t="n">
        <v>30</v>
      </c>
      <c r="M20" s="3">
        <f>K20+L20</f>
        <v/>
      </c>
      <c r="N20" s="4" t="inlineStr">
        <is>
          <t>29-Mar-07</t>
        </is>
      </c>
      <c r="O20" s="3" t="n">
        <v/>
      </c>
    </row>
    <row r="21">
      <c r="A21" s="2" t="inlineStr">
        <is>
          <t>3373462026</t>
        </is>
      </c>
      <c r="B21" s="5" t="inlineStr">
        <is>
          <t>TABUZO</t>
        </is>
      </c>
      <c r="C21" s="5" t="inlineStr">
        <is>
          <t>ALBERT</t>
        </is>
      </c>
      <c r="D21" s="2" t="inlineStr">
        <is>
          <t>TOLIBAS</t>
        </is>
      </c>
      <c r="E21" s="3">
        <f>K21/0.15</f>
        <v/>
      </c>
      <c r="F21" s="4" t="inlineStr">
        <is>
          <t>02-Feb-82</t>
        </is>
      </c>
      <c r="G21" s="3" t="n">
        <v>871.11</v>
      </c>
      <c r="H21" s="3" t="n">
        <v>850</v>
      </c>
      <c r="I21" s="6" t="inlineStr"/>
      <c r="J21" s="3" t="n">
        <v>1700</v>
      </c>
      <c r="K21" s="3" t="n">
        <v>2550</v>
      </c>
      <c r="L21" s="3" t="n">
        <v>30</v>
      </c>
      <c r="M21" s="3">
        <f>K21+L21</f>
        <v/>
      </c>
      <c r="N21" s="4" t="inlineStr">
        <is>
          <t>09-Jul-14</t>
        </is>
      </c>
      <c r="O21" s="5" t="inlineStr">
        <is>
          <t>SALES AGENT</t>
        </is>
      </c>
    </row>
    <row r="22">
      <c r="A22" s="2" t="inlineStr">
        <is>
          <t>3390263952</t>
        </is>
      </c>
      <c r="B22" s="5" t="inlineStr">
        <is>
          <t>VILLALUZ</t>
        </is>
      </c>
      <c r="C22" s="5" t="inlineStr">
        <is>
          <t>RAYMOND</t>
        </is>
      </c>
      <c r="D22" s="2" t="inlineStr">
        <is>
          <t>DELA CRUZ</t>
        </is>
      </c>
      <c r="E22" s="3">
        <f>K22/0.15</f>
        <v/>
      </c>
      <c r="F22" s="4" t="inlineStr">
        <is>
          <t>30-Sep-85</t>
        </is>
      </c>
      <c r="G22" s="3" t="n">
        <v>504.41</v>
      </c>
      <c r="H22" s="3" t="n">
        <v>500</v>
      </c>
      <c r="I22" s="6" t="inlineStr"/>
      <c r="J22" s="3" t="n">
        <v>1000</v>
      </c>
      <c r="K22" s="3" t="n">
        <v>1500</v>
      </c>
      <c r="L22" s="3" t="n">
        <v>10</v>
      </c>
      <c r="M22" s="3">
        <f>K22+L22</f>
        <v/>
      </c>
      <c r="N22" s="4" t="inlineStr">
        <is>
          <t>09-May-19</t>
        </is>
      </c>
      <c r="O22" s="5" t="inlineStr">
        <is>
          <t>WAREHOUSEMAN</t>
        </is>
      </c>
    </row>
    <row r="23"/>
    <row r="24"/>
    <row r="25">
      <c r="A25" s="8" t="inlineStr">
        <is>
          <t>Total</t>
        </is>
      </c>
      <c r="B25" s="9" t="n"/>
      <c r="C25" s="9" t="n"/>
      <c r="D25" s="9" t="n"/>
      <c r="E25" s="10">
        <f>SUM(E2:E22)</f>
        <v/>
      </c>
      <c r="F25" s="9" t="n"/>
      <c r="G25" s="10">
        <f>SUM(G2:G22)</f>
        <v/>
      </c>
      <c r="H25" s="10">
        <f>SUM(H2:H22)</f>
        <v/>
      </c>
      <c r="I25" s="10">
        <f>SUM(I2:I22)</f>
        <v/>
      </c>
      <c r="J25" s="10">
        <f>SUM(J2:J22)</f>
        <v/>
      </c>
      <c r="K25" s="10">
        <f>SUM(K2:K22)</f>
        <v/>
      </c>
      <c r="L25" s="10">
        <f>SUM(L2:L22)</f>
        <v/>
      </c>
      <c r="M25" s="9" t="n"/>
      <c r="N25" s="9" t="n"/>
      <c r="O25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6" customWidth="1" min="4" max="4"/>
    <col width="24" customWidth="1" min="5" max="5"/>
    <col width="14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3" customWidth="1" min="13" max="13"/>
  </cols>
  <sheetData>
    <row r="1">
      <c r="A1" s="1" t="inlineStr">
        <is>
          <t>custid</t>
        </is>
      </c>
      <c r="B1" s="1" t="inlineStr">
        <is>
          <t>pagibigno</t>
        </is>
      </c>
      <c r="C1" s="1" t="inlineStr">
        <is>
          <t>companyid</t>
        </is>
      </c>
      <c r="D1" s="1" t="inlineStr">
        <is>
          <t>lastname</t>
        </is>
      </c>
      <c r="E1" s="1" t="inlineStr">
        <is>
          <t>firstname</t>
        </is>
      </c>
      <c r="F1" s="1" t="inlineStr">
        <is>
          <t>middlename</t>
        </is>
      </c>
      <c r="G1" s="1" t="inlineStr">
        <is>
          <t>pbigloan</t>
        </is>
      </c>
      <c r="H1" s="1" t="inlineStr">
        <is>
          <t>SL Deduction</t>
        </is>
      </c>
      <c r="I1" s="1" t="inlineStr">
        <is>
          <t>CL Deduction</t>
        </is>
      </c>
      <c r="J1" s="1" t="inlineStr">
        <is>
          <t>Total Deduction</t>
        </is>
      </c>
      <c r="K1" s="1" t="inlineStr">
        <is>
          <t>Over Amount Ded</t>
        </is>
      </c>
      <c r="L1" s="1" t="inlineStr">
        <is>
          <t>tinno</t>
        </is>
      </c>
      <c r="M1" s="1" t="inlineStr">
        <is>
          <t>birthdate</t>
        </is>
      </c>
    </row>
    <row r="2">
      <c r="A2" s="2" t="n">
        <v>1234</v>
      </c>
      <c r="B2" s="2" t="inlineStr">
        <is>
          <t>121283251585</t>
        </is>
      </c>
      <c r="C2" s="2" t="inlineStr">
        <is>
          <t>521998-3</t>
        </is>
      </c>
      <c r="D2" s="5" t="inlineStr">
        <is>
          <t>AGUILLOSO</t>
        </is>
      </c>
      <c r="E2" s="5" t="inlineStr">
        <is>
          <t>CYRENE MAE</t>
        </is>
      </c>
      <c r="F2" s="2" t="inlineStr">
        <is>
          <t>DONAIRE</t>
        </is>
      </c>
      <c r="G2" s="3" t="n">
        <v>1093.41</v>
      </c>
      <c r="H2" s="5" t="inlineStr"/>
      <c r="I2" s="5" t="inlineStr"/>
      <c r="J2" s="3">
        <f>SUM(H2:I2)</f>
        <v/>
      </c>
      <c r="K2" s="3">
        <f>G2-J2</f>
        <v/>
      </c>
      <c r="L2" s="2" t="n">
        <v/>
      </c>
      <c r="M2" s="4" t="inlineStr">
        <is>
          <t>02-May-98</t>
        </is>
      </c>
    </row>
    <row r="3">
      <c r="A3" s="2" t="n">
        <v>1235</v>
      </c>
      <c r="B3" s="2" t="inlineStr">
        <is>
          <t>121231153220</t>
        </is>
      </c>
      <c r="C3" s="2" t="inlineStr">
        <is>
          <t>9111982-3</t>
        </is>
      </c>
      <c r="D3" s="5" t="inlineStr">
        <is>
          <t>ANGELES</t>
        </is>
      </c>
      <c r="E3" s="5" t="inlineStr">
        <is>
          <t>FREDDIE</t>
        </is>
      </c>
      <c r="F3" s="2" t="inlineStr">
        <is>
          <t>BARTOLOME</t>
        </is>
      </c>
      <c r="G3" s="3" t="n">
        <v>0</v>
      </c>
      <c r="H3" s="5" t="inlineStr"/>
      <c r="I3" s="5" t="inlineStr"/>
      <c r="J3" s="3">
        <f>SUM(H3:I3)</f>
        <v/>
      </c>
      <c r="K3" s="3">
        <f>G3-J3</f>
        <v/>
      </c>
      <c r="L3" s="2" t="inlineStr">
        <is>
          <t>N/A-000</t>
        </is>
      </c>
      <c r="M3" s="4" t="inlineStr">
        <is>
          <t>11-Sep-82</t>
        </is>
      </c>
    </row>
    <row r="4">
      <c r="A4" s="2" t="n">
        <v>1235</v>
      </c>
      <c r="B4" s="2" t="inlineStr">
        <is>
          <t>121027193814</t>
        </is>
      </c>
      <c r="C4" s="2" t="inlineStr">
        <is>
          <t>7211979-3</t>
        </is>
      </c>
      <c r="D4" s="5" t="inlineStr">
        <is>
          <t>ARDABAN JR</t>
        </is>
      </c>
      <c r="E4" s="5" t="inlineStr">
        <is>
          <t>RODRIGO</t>
        </is>
      </c>
      <c r="F4" s="2" t="inlineStr">
        <is>
          <t>AMOLO</t>
        </is>
      </c>
      <c r="G4" s="3" t="n">
        <v>1501.14</v>
      </c>
      <c r="H4" s="5" t="inlineStr"/>
      <c r="I4" s="5" t="inlineStr"/>
      <c r="J4" s="3">
        <f>SUM(H4:I4)</f>
        <v/>
      </c>
      <c r="K4" s="3">
        <f>G4-J4</f>
        <v/>
      </c>
      <c r="L4" s="2" t="n">
        <v/>
      </c>
      <c r="M4" s="4" t="inlineStr">
        <is>
          <t>21-Jul-79</t>
        </is>
      </c>
    </row>
    <row r="5">
      <c r="A5" s="2" t="n">
        <v>1235</v>
      </c>
      <c r="B5" s="2" t="inlineStr">
        <is>
          <t>121279412910</t>
        </is>
      </c>
      <c r="C5" s="2" t="inlineStr">
        <is>
          <t>1111999-3</t>
        </is>
      </c>
      <c r="D5" s="5" t="inlineStr">
        <is>
          <t>CORDERO</t>
        </is>
      </c>
      <c r="E5" s="5" t="inlineStr">
        <is>
          <t>KYEZELLE AMOR</t>
        </is>
      </c>
      <c r="F5" s="2" t="inlineStr">
        <is>
          <t>ANGELES</t>
        </is>
      </c>
      <c r="G5" s="3" t="n">
        <v>0</v>
      </c>
      <c r="H5" s="5" t="inlineStr"/>
      <c r="I5" s="5" t="inlineStr"/>
      <c r="J5" s="3">
        <f>SUM(H5:I5)</f>
        <v/>
      </c>
      <c r="K5" s="3">
        <f>G5-J5</f>
        <v/>
      </c>
      <c r="L5" s="2" t="inlineStr">
        <is>
          <t>391-021-642-000</t>
        </is>
      </c>
      <c r="M5" s="4" t="inlineStr">
        <is>
          <t>11-Jan-99</t>
        </is>
      </c>
    </row>
    <row r="6">
      <c r="A6" s="2" t="n">
        <v>1233</v>
      </c>
      <c r="B6" s="2" t="inlineStr">
        <is>
          <t>121374756422</t>
        </is>
      </c>
      <c r="C6" s="2" t="inlineStr">
        <is>
          <t>662001-2</t>
        </is>
      </c>
      <c r="D6" s="5" t="inlineStr">
        <is>
          <t>ECAT</t>
        </is>
      </c>
      <c r="E6" s="5" t="inlineStr">
        <is>
          <t>FRANCES JOYCE DOYENN</t>
        </is>
      </c>
      <c r="F6" s="2" t="inlineStr">
        <is>
          <t>SARONA</t>
        </is>
      </c>
      <c r="G6" s="3" t="n">
        <v>0</v>
      </c>
      <c r="H6" s="5" t="inlineStr"/>
      <c r="I6" s="5" t="inlineStr"/>
      <c r="J6" s="3">
        <f>SUM(H6:I6)</f>
        <v/>
      </c>
      <c r="K6" s="3">
        <f>G6-J6</f>
        <v/>
      </c>
      <c r="L6" s="2" t="n">
        <v/>
      </c>
      <c r="M6" s="4" t="inlineStr">
        <is>
          <t>06-Jun-01</t>
        </is>
      </c>
    </row>
    <row r="7">
      <c r="A7" s="2" t="n">
        <v>1234</v>
      </c>
      <c r="B7" s="2" t="inlineStr">
        <is>
          <t>121246473738</t>
        </is>
      </c>
      <c r="C7" s="2" t="inlineStr">
        <is>
          <t>3191999-3</t>
        </is>
      </c>
      <c r="D7" s="5" t="inlineStr">
        <is>
          <t>FORTES</t>
        </is>
      </c>
      <c r="E7" s="5" t="inlineStr">
        <is>
          <t>JOLLIENA</t>
        </is>
      </c>
      <c r="F7" s="2" t="inlineStr">
        <is>
          <t>MACASOJOT</t>
        </is>
      </c>
      <c r="G7" s="3" t="n">
        <v>0</v>
      </c>
      <c r="H7" s="5" t="inlineStr"/>
      <c r="I7" s="5" t="inlineStr"/>
      <c r="J7" s="3">
        <f>SUM(H7:I7)</f>
        <v/>
      </c>
      <c r="K7" s="3">
        <f>G7-J7</f>
        <v/>
      </c>
      <c r="L7" s="2" t="inlineStr">
        <is>
          <t>608-653-664-000</t>
        </is>
      </c>
      <c r="M7" s="4" t="inlineStr">
        <is>
          <t>19-Mar-99</t>
        </is>
      </c>
    </row>
    <row r="8">
      <c r="A8" s="2" t="n">
        <v>1233</v>
      </c>
      <c r="B8" s="2" t="inlineStr">
        <is>
          <t>121374451700</t>
        </is>
      </c>
      <c r="C8" s="2" t="inlineStr">
        <is>
          <t>12202002-2</t>
        </is>
      </c>
      <c r="D8" s="5" t="inlineStr">
        <is>
          <t>FRANCISCO JR</t>
        </is>
      </c>
      <c r="E8" s="5" t="inlineStr">
        <is>
          <t>JONATHAN</t>
        </is>
      </c>
      <c r="F8" s="2" t="inlineStr">
        <is>
          <t>GUMIA</t>
        </is>
      </c>
      <c r="G8" s="3" t="n">
        <v>0</v>
      </c>
      <c r="H8" s="5" t="inlineStr"/>
      <c r="I8" s="5" t="inlineStr"/>
      <c r="J8" s="3">
        <f>SUM(H8:I8)</f>
        <v/>
      </c>
      <c r="K8" s="3">
        <f>G8-J8</f>
        <v/>
      </c>
      <c r="L8" s="2" t="n">
        <v/>
      </c>
      <c r="M8" s="4" t="inlineStr">
        <is>
          <t>20-Dec-02</t>
        </is>
      </c>
    </row>
    <row r="9">
      <c r="A9" s="2" t="n">
        <v>1235</v>
      </c>
      <c r="B9" s="2" t="inlineStr">
        <is>
          <t>121282395713</t>
        </is>
      </c>
      <c r="C9" s="2" t="inlineStr">
        <is>
          <t>12121998-3</t>
        </is>
      </c>
      <c r="D9" s="5" t="inlineStr">
        <is>
          <t>GARCIA</t>
        </is>
      </c>
      <c r="E9" s="5" t="inlineStr">
        <is>
          <t>DANIELLA MAY</t>
        </is>
      </c>
      <c r="F9" s="2" t="inlineStr">
        <is>
          <t>SOPLITO</t>
        </is>
      </c>
      <c r="G9" s="3" t="n">
        <v>0</v>
      </c>
      <c r="H9" s="5" t="inlineStr"/>
      <c r="I9" s="5" t="inlineStr"/>
      <c r="J9" s="3">
        <f>SUM(H9:I9)</f>
        <v/>
      </c>
      <c r="K9" s="3">
        <f>G9-J9</f>
        <v/>
      </c>
      <c r="L9" s="2" t="inlineStr">
        <is>
          <t>611667109-000</t>
        </is>
      </c>
      <c r="M9" s="4" t="inlineStr">
        <is>
          <t>12-Dec-98</t>
        </is>
      </c>
    </row>
    <row r="10">
      <c r="A10" s="2" t="n">
        <v>1235</v>
      </c>
      <c r="B10" s="2" t="inlineStr">
        <is>
          <t>121266467840</t>
        </is>
      </c>
      <c r="C10" s="2" t="inlineStr">
        <is>
          <t>7171997-3</t>
        </is>
      </c>
      <c r="D10" s="5" t="inlineStr">
        <is>
          <t>GIGANTE</t>
        </is>
      </c>
      <c r="E10" s="5" t="inlineStr">
        <is>
          <t>ELIZABETH</t>
        </is>
      </c>
      <c r="F10" s="2" t="inlineStr">
        <is>
          <t>MAGBOO</t>
        </is>
      </c>
      <c r="G10" s="3" t="n">
        <v>804.12</v>
      </c>
      <c r="H10" s="5" t="inlineStr"/>
      <c r="I10" s="5" t="inlineStr"/>
      <c r="J10" s="3">
        <f>SUM(H10:I10)</f>
        <v/>
      </c>
      <c r="K10" s="3">
        <f>G10-J10</f>
        <v/>
      </c>
      <c r="L10" s="2" t="n">
        <v/>
      </c>
      <c r="M10" s="4" t="inlineStr">
        <is>
          <t>17-Jul-97</t>
        </is>
      </c>
    </row>
    <row r="11">
      <c r="A11" s="2" t="n">
        <v>1235</v>
      </c>
      <c r="B11" s="2" t="inlineStr">
        <is>
          <t>121290716296</t>
        </is>
      </c>
      <c r="C11" s="2" t="inlineStr">
        <is>
          <t>5102002-3</t>
        </is>
      </c>
      <c r="D11" s="5" t="inlineStr">
        <is>
          <t>GUEVARRA</t>
        </is>
      </c>
      <c r="E11" s="5" t="inlineStr">
        <is>
          <t>JASON</t>
        </is>
      </c>
      <c r="F11" s="2" t="inlineStr">
        <is>
          <t>ORIOSA</t>
        </is>
      </c>
      <c r="G11" s="3" t="n">
        <v>0</v>
      </c>
      <c r="H11" s="5" t="inlineStr"/>
      <c r="I11" s="5" t="inlineStr"/>
      <c r="J11" s="3">
        <f>SUM(H11:I11)</f>
        <v/>
      </c>
      <c r="K11" s="3">
        <f>G11-J11</f>
        <v/>
      </c>
      <c r="L11" s="2" t="inlineStr">
        <is>
          <t>687748291-000</t>
        </is>
      </c>
      <c r="M11" s="4" t="inlineStr">
        <is>
          <t>10-May-02</t>
        </is>
      </c>
    </row>
    <row r="12">
      <c r="A12" s="2" t="n">
        <v>275</v>
      </c>
      <c r="B12" s="2" t="inlineStr">
        <is>
          <t>121027771942</t>
        </is>
      </c>
      <c r="C12" s="2" t="inlineStr">
        <is>
          <t>651988-2</t>
        </is>
      </c>
      <c r="D12" s="5" t="inlineStr">
        <is>
          <t>MANECLANG</t>
        </is>
      </c>
      <c r="E12" s="5" t="inlineStr">
        <is>
          <t>MICHAEL</t>
        </is>
      </c>
      <c r="F12" s="2" t="inlineStr">
        <is>
          <t>RELOZA</t>
        </is>
      </c>
      <c r="G12" s="3" t="n">
        <v>0</v>
      </c>
      <c r="H12" s="5" t="inlineStr"/>
      <c r="I12" s="5" t="inlineStr"/>
      <c r="J12" s="3">
        <f>SUM(H12:I12)</f>
        <v/>
      </c>
      <c r="K12" s="3">
        <f>G12-J12</f>
        <v/>
      </c>
      <c r="L12" s="2" t="n">
        <v/>
      </c>
      <c r="M12" s="4" t="inlineStr">
        <is>
          <t>05-Jun-88</t>
        </is>
      </c>
    </row>
    <row r="13">
      <c r="A13" s="2" t="n">
        <v>1235</v>
      </c>
      <c r="B13" s="2" t="inlineStr">
        <is>
          <t>121140750894</t>
        </is>
      </c>
      <c r="C13" s="2" t="inlineStr">
        <is>
          <t>521991-3</t>
        </is>
      </c>
      <c r="D13" s="5" t="inlineStr">
        <is>
          <t>MANGAZAR</t>
        </is>
      </c>
      <c r="E13" s="5" t="inlineStr">
        <is>
          <t>GLENABEL</t>
        </is>
      </c>
      <c r="F13" s="2" t="inlineStr">
        <is>
          <t>TRAMBULO</t>
        </is>
      </c>
      <c r="G13" s="3" t="n">
        <v>1711.93</v>
      </c>
      <c r="H13" s="5" t="inlineStr"/>
      <c r="I13" s="5" t="inlineStr"/>
      <c r="J13" s="3">
        <f>SUM(H13:I13)</f>
        <v/>
      </c>
      <c r="K13" s="3">
        <f>G13-J13</f>
        <v/>
      </c>
      <c r="L13" s="2" t="inlineStr">
        <is>
          <t>453-568-035-000</t>
        </is>
      </c>
      <c r="M13" s="4" t="inlineStr">
        <is>
          <t>02-May-91</t>
        </is>
      </c>
    </row>
    <row r="14">
      <c r="A14" s="2" t="n">
        <v>1235</v>
      </c>
      <c r="B14" s="2" t="inlineStr">
        <is>
          <t>121303176250</t>
        </is>
      </c>
      <c r="C14" s="2" t="inlineStr">
        <is>
          <t>1282003-3</t>
        </is>
      </c>
      <c r="D14" s="5" t="inlineStr">
        <is>
          <t>MASCARDO</t>
        </is>
      </c>
      <c r="E14" s="5" t="inlineStr">
        <is>
          <t>HERSHEY</t>
        </is>
      </c>
      <c r="F14" s="2" t="inlineStr">
        <is>
          <t>DELA CRUZ</t>
        </is>
      </c>
      <c r="G14" s="3" t="n">
        <v>0</v>
      </c>
      <c r="H14" s="5" t="inlineStr"/>
      <c r="I14" s="5" t="inlineStr"/>
      <c r="J14" s="3">
        <f>SUM(H14:I14)</f>
        <v/>
      </c>
      <c r="K14" s="3">
        <f>G14-J14</f>
        <v/>
      </c>
      <c r="L14" s="2" t="inlineStr">
        <is>
          <t>511704200-000</t>
        </is>
      </c>
      <c r="M14" s="4" t="inlineStr">
        <is>
          <t>28-Jan-03</t>
        </is>
      </c>
    </row>
    <row r="15">
      <c r="A15" s="2" t="n">
        <v>1233</v>
      </c>
      <c r="B15" s="2" t="inlineStr">
        <is>
          <t>121293935372</t>
        </is>
      </c>
      <c r="C15" s="2" t="inlineStr">
        <is>
          <t>5261995-3</t>
        </is>
      </c>
      <c r="D15" s="5" t="inlineStr">
        <is>
          <t>MENDOZA</t>
        </is>
      </c>
      <c r="E15" s="5" t="inlineStr">
        <is>
          <t>EAJAY</t>
        </is>
      </c>
      <c r="F15" s="2" t="inlineStr">
        <is>
          <t>PURA</t>
        </is>
      </c>
      <c r="G15" s="3" t="n">
        <v>717.3099999999999</v>
      </c>
      <c r="H15" s="5" t="inlineStr"/>
      <c r="I15" s="5" t="inlineStr"/>
      <c r="J15" s="3">
        <f>SUM(H15:I15)</f>
        <v/>
      </c>
      <c r="K15" s="3">
        <f>G15-J15</f>
        <v/>
      </c>
      <c r="L15" s="2" t="inlineStr">
        <is>
          <t>379-531-760-000</t>
        </is>
      </c>
      <c r="M15" s="4" t="inlineStr">
        <is>
          <t>26-May-95</t>
        </is>
      </c>
    </row>
    <row r="16">
      <c r="A16" s="2" t="n">
        <v>1234</v>
      </c>
      <c r="B16" s="2" t="inlineStr">
        <is>
          <t>106001993408</t>
        </is>
      </c>
      <c r="C16" s="2" t="inlineStr">
        <is>
          <t>1201974-3</t>
        </is>
      </c>
      <c r="D16" s="5" t="inlineStr">
        <is>
          <t>MONTEMAYOR</t>
        </is>
      </c>
      <c r="E16" s="5" t="inlineStr">
        <is>
          <t>MICHAEL</t>
        </is>
      </c>
      <c r="F16" s="2" t="inlineStr">
        <is>
          <t>FLORES</t>
        </is>
      </c>
      <c r="G16" s="3" t="n">
        <v>0</v>
      </c>
      <c r="H16" s="5" t="inlineStr"/>
      <c r="I16" s="5" t="inlineStr"/>
      <c r="J16" s="3">
        <f>SUM(H16:I16)</f>
        <v/>
      </c>
      <c r="K16" s="3">
        <f>G16-J16</f>
        <v/>
      </c>
      <c r="L16" s="2" t="inlineStr">
        <is>
          <t>146-855-781-000</t>
        </is>
      </c>
      <c r="M16" s="4" t="inlineStr">
        <is>
          <t>20-Jan-74</t>
        </is>
      </c>
    </row>
    <row r="17">
      <c r="A17" s="2" t="n">
        <v>1234</v>
      </c>
      <c r="B17" s="2" t="inlineStr">
        <is>
          <t>121121739647</t>
        </is>
      </c>
      <c r="C17" s="2" t="inlineStr">
        <is>
          <t>4231994-3</t>
        </is>
      </c>
      <c r="D17" s="5" t="inlineStr">
        <is>
          <t>PLAZA</t>
        </is>
      </c>
      <c r="E17" s="5" t="inlineStr">
        <is>
          <t>JOVEN</t>
        </is>
      </c>
      <c r="F17" s="2" t="inlineStr">
        <is>
          <t>HILONGO</t>
        </is>
      </c>
      <c r="G17" s="3" t="n">
        <v>960.42</v>
      </c>
      <c r="H17" s="5" t="inlineStr"/>
      <c r="I17" s="5" t="inlineStr"/>
      <c r="J17" s="3">
        <f>SUM(H17:I17)</f>
        <v/>
      </c>
      <c r="K17" s="3">
        <f>G17-J17</f>
        <v/>
      </c>
      <c r="L17" s="2" t="n">
        <v/>
      </c>
      <c r="M17" s="4" t="inlineStr">
        <is>
          <t>23-Apr-94</t>
        </is>
      </c>
    </row>
    <row r="18">
      <c r="A18" s="2" t="n">
        <v>1235</v>
      </c>
      <c r="B18" s="2" t="inlineStr">
        <is>
          <t>121282622458</t>
        </is>
      </c>
      <c r="C18" s="2" t="inlineStr">
        <is>
          <t>9152000-3</t>
        </is>
      </c>
      <c r="D18" s="5" t="inlineStr">
        <is>
          <t>RANES</t>
        </is>
      </c>
      <c r="E18" s="5" t="inlineStr">
        <is>
          <t>AINAH MARIE</t>
        </is>
      </c>
      <c r="F18" s="2" t="inlineStr">
        <is>
          <t>MACAPAGAL</t>
        </is>
      </c>
      <c r="G18" s="3" t="n">
        <v>0</v>
      </c>
      <c r="H18" s="5" t="inlineStr"/>
      <c r="I18" s="5" t="inlineStr"/>
      <c r="J18" s="3">
        <f>SUM(H18:I18)</f>
        <v/>
      </c>
      <c r="K18" s="3">
        <f>G18-J18</f>
        <v/>
      </c>
      <c r="L18" s="2" t="inlineStr">
        <is>
          <t>393-148-269-000</t>
        </is>
      </c>
      <c r="M18" s="4" t="inlineStr">
        <is>
          <t>15-Sep-00</t>
        </is>
      </c>
    </row>
    <row r="19">
      <c r="A19" s="2" t="n">
        <v>1235</v>
      </c>
      <c r="B19" s="2" t="inlineStr">
        <is>
          <t>121271160408</t>
        </is>
      </c>
      <c r="C19" s="2" t="inlineStr">
        <is>
          <t>6151998-2</t>
        </is>
      </c>
      <c r="D19" s="5" t="inlineStr">
        <is>
          <t>SALES</t>
        </is>
      </c>
      <c r="E19" s="5" t="inlineStr">
        <is>
          <t>MAICA</t>
        </is>
      </c>
      <c r="F19" s="2" t="n">
        <v/>
      </c>
      <c r="G19" s="3" t="n">
        <v>0</v>
      </c>
      <c r="H19" s="5" t="inlineStr"/>
      <c r="I19" s="5" t="inlineStr"/>
      <c r="J19" s="3">
        <f>SUM(H19:I19)</f>
        <v/>
      </c>
      <c r="K19" s="3">
        <f>G19-J19</f>
        <v/>
      </c>
      <c r="L19" s="2" t="n">
        <v/>
      </c>
      <c r="M19" s="4" t="inlineStr">
        <is>
          <t>15-Jun-98</t>
        </is>
      </c>
    </row>
    <row r="20">
      <c r="A20" s="2" t="n">
        <v>646</v>
      </c>
      <c r="B20" s="2" t="inlineStr">
        <is>
          <t>106001995230</t>
        </is>
      </c>
      <c r="C20" s="2" t="inlineStr">
        <is>
          <t>411981-2</t>
        </is>
      </c>
      <c r="D20" s="5" t="inlineStr">
        <is>
          <t>SEMBRANO</t>
        </is>
      </c>
      <c r="E20" s="5" t="inlineStr">
        <is>
          <t>JOEY</t>
        </is>
      </c>
      <c r="F20" s="2" t="inlineStr">
        <is>
          <t>BANTILLO</t>
        </is>
      </c>
      <c r="G20" s="3" t="n">
        <v>0</v>
      </c>
      <c r="H20" s="5" t="inlineStr"/>
      <c r="I20" s="5" t="inlineStr"/>
      <c r="J20" s="3">
        <f>SUM(H20:I20)</f>
        <v/>
      </c>
      <c r="K20" s="3">
        <f>G20-J20</f>
        <v/>
      </c>
      <c r="L20" s="2" t="n">
        <v/>
      </c>
      <c r="M20" s="4" t="inlineStr">
        <is>
          <t>01-Apr-81</t>
        </is>
      </c>
    </row>
    <row r="21">
      <c r="A21" s="2" t="n">
        <v>1234</v>
      </c>
      <c r="B21" s="2" t="inlineStr">
        <is>
          <t>105002002728</t>
        </is>
      </c>
      <c r="C21" s="2" t="inlineStr">
        <is>
          <t>221982-3</t>
        </is>
      </c>
      <c r="D21" s="5" t="inlineStr">
        <is>
          <t>TABUZO</t>
        </is>
      </c>
      <c r="E21" s="5" t="inlineStr">
        <is>
          <t>ALBERT</t>
        </is>
      </c>
      <c r="F21" s="2" t="inlineStr">
        <is>
          <t>TOLIBAS</t>
        </is>
      </c>
      <c r="G21" s="3" t="n">
        <v>2234.97</v>
      </c>
      <c r="H21" s="5" t="inlineStr"/>
      <c r="I21" s="5" t="inlineStr"/>
      <c r="J21" s="3">
        <f>SUM(H21:I21)</f>
        <v/>
      </c>
      <c r="K21" s="3">
        <f>G21-J21</f>
        <v/>
      </c>
      <c r="L21" s="2" t="inlineStr">
        <is>
          <t>221-768-046-000</t>
        </is>
      </c>
      <c r="M21" s="4" t="inlineStr">
        <is>
          <t>02-Feb-82</t>
        </is>
      </c>
    </row>
    <row r="22">
      <c r="A22" s="2" t="n">
        <v>1234</v>
      </c>
      <c r="B22" s="2" t="inlineStr">
        <is>
          <t>121146494251</t>
        </is>
      </c>
      <c r="C22" s="2" t="inlineStr">
        <is>
          <t>9301985-2</t>
        </is>
      </c>
      <c r="D22" s="5" t="inlineStr">
        <is>
          <t>VILLALUZ</t>
        </is>
      </c>
      <c r="E22" s="5" t="inlineStr">
        <is>
          <t>RAYMOND</t>
        </is>
      </c>
      <c r="F22" s="2" t="inlineStr">
        <is>
          <t>DELA CRUZ</t>
        </is>
      </c>
      <c r="G22" s="3" t="n">
        <v>892.84</v>
      </c>
      <c r="H22" s="5" t="inlineStr"/>
      <c r="I22" s="5" t="inlineStr"/>
      <c r="J22" s="3">
        <f>SUM(H22:I22)</f>
        <v/>
      </c>
      <c r="K22" s="3">
        <f>G22-J22</f>
        <v/>
      </c>
      <c r="L22" s="2" t="n">
        <v/>
      </c>
      <c r="M22" s="4" t="inlineStr">
        <is>
          <t>30-Sep-85</t>
        </is>
      </c>
    </row>
    <row r="23"/>
    <row r="24"/>
    <row r="25">
      <c r="A25" s="8" t="inlineStr">
        <is>
          <t>Total</t>
        </is>
      </c>
      <c r="B25" s="9" t="n"/>
      <c r="C25" s="9" t="n"/>
      <c r="D25" s="9" t="n"/>
      <c r="E25" s="9" t="n"/>
      <c r="F25" s="9" t="n"/>
      <c r="G25" s="10">
        <f>SUM(G2:G22)</f>
        <v/>
      </c>
      <c r="H25" s="10">
        <f>SUM(H2:H22)</f>
        <v/>
      </c>
      <c r="I25" s="10">
        <f>SUM(I2:I22)</f>
        <v/>
      </c>
      <c r="J25" s="10">
        <f>SUM(J2:J22)</f>
        <v/>
      </c>
      <c r="K25" s="10">
        <f>SUM(K2:K22)</f>
        <v/>
      </c>
      <c r="L25" s="9" t="n"/>
      <c r="M25" s="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24" customWidth="1" min="4" max="4"/>
    <col width="14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custid</t>
        </is>
      </c>
      <c r="B1" s="1" t="inlineStr">
        <is>
          <t>sssno</t>
        </is>
      </c>
      <c r="C1" s="1" t="inlineStr">
        <is>
          <t>lastname</t>
        </is>
      </c>
      <c r="D1" s="1" t="inlineStr">
        <is>
          <t>firstname</t>
        </is>
      </c>
      <c r="E1" s="1" t="inlineStr">
        <is>
          <t>middlename</t>
        </is>
      </c>
      <c r="F1" s="1" t="inlineStr">
        <is>
          <t>sssloan</t>
        </is>
      </c>
      <c r="G1" s="1" t="inlineStr">
        <is>
          <t>SL Deduction</t>
        </is>
      </c>
      <c r="H1" s="1" t="inlineStr">
        <is>
          <t>CL Deduction</t>
        </is>
      </c>
      <c r="I1" s="1" t="inlineStr">
        <is>
          <t>Total Deduction</t>
        </is>
      </c>
      <c r="J1" s="1" t="inlineStr">
        <is>
          <t>Over Amount Ded</t>
        </is>
      </c>
    </row>
    <row r="2">
      <c r="A2" s="2" t="n">
        <v>1234</v>
      </c>
      <c r="B2" s="2" t="inlineStr">
        <is>
          <t>0829176937</t>
        </is>
      </c>
      <c r="C2" s="5" t="inlineStr">
        <is>
          <t>AGUILLOSO</t>
        </is>
      </c>
      <c r="D2" s="5" t="inlineStr">
        <is>
          <t>CYRENE MAE</t>
        </is>
      </c>
      <c r="E2" s="2" t="inlineStr">
        <is>
          <t>DONAIRE</t>
        </is>
      </c>
      <c r="F2" s="3" t="n">
        <v>1350</v>
      </c>
      <c r="G2" s="5" t="inlineStr"/>
      <c r="H2" s="5" t="inlineStr"/>
      <c r="I2" s="3">
        <f>SUM(G2:H2)</f>
        <v/>
      </c>
      <c r="J2" s="3">
        <f>F2-I2</f>
        <v/>
      </c>
    </row>
    <row r="3">
      <c r="A3" s="2" t="n">
        <v>1235</v>
      </c>
      <c r="B3" s="2" t="inlineStr">
        <is>
          <t>3409441021</t>
        </is>
      </c>
      <c r="C3" s="5" t="inlineStr">
        <is>
          <t>ANGELES</t>
        </is>
      </c>
      <c r="D3" s="5" t="inlineStr">
        <is>
          <t>FREDDIE</t>
        </is>
      </c>
      <c r="E3" s="2" t="inlineStr">
        <is>
          <t>BARTOLOME</t>
        </is>
      </c>
      <c r="F3" s="3" t="n">
        <v>0</v>
      </c>
      <c r="G3" s="5" t="inlineStr"/>
      <c r="H3" s="5" t="inlineStr"/>
      <c r="I3" s="3">
        <f>SUM(G3:H3)</f>
        <v/>
      </c>
      <c r="J3" s="3">
        <f>F3-I3</f>
        <v/>
      </c>
    </row>
    <row r="4">
      <c r="A4" s="2" t="n">
        <v>1235</v>
      </c>
      <c r="B4" s="2" t="inlineStr">
        <is>
          <t>3353411592</t>
        </is>
      </c>
      <c r="C4" s="5" t="inlineStr">
        <is>
          <t>ARDABAN JR</t>
        </is>
      </c>
      <c r="D4" s="5" t="inlineStr">
        <is>
          <t>RODRIGO</t>
        </is>
      </c>
      <c r="E4" s="2" t="inlineStr">
        <is>
          <t>AMOLO</t>
        </is>
      </c>
      <c r="F4" s="3" t="n">
        <v>1763.86</v>
      </c>
      <c r="G4" s="5" t="inlineStr"/>
      <c r="H4" s="5" t="inlineStr"/>
      <c r="I4" s="3">
        <f>SUM(G4:H4)</f>
        <v/>
      </c>
      <c r="J4" s="3">
        <f>F4-I4</f>
        <v/>
      </c>
    </row>
    <row r="5">
      <c r="A5" s="2" t="n">
        <v>1235</v>
      </c>
      <c r="B5" s="2" t="inlineStr">
        <is>
          <t>3498914022</t>
        </is>
      </c>
      <c r="C5" s="5" t="inlineStr">
        <is>
          <t>CORDERO</t>
        </is>
      </c>
      <c r="D5" s="5" t="inlineStr">
        <is>
          <t>KYEZELLE AMOR</t>
        </is>
      </c>
      <c r="E5" s="2" t="inlineStr">
        <is>
          <t>ANGELES</t>
        </is>
      </c>
      <c r="F5" s="3" t="n">
        <v>0</v>
      </c>
      <c r="G5" s="5" t="inlineStr"/>
      <c r="H5" s="5" t="inlineStr"/>
      <c r="I5" s="3">
        <f>SUM(G5:H5)</f>
        <v/>
      </c>
      <c r="J5" s="3">
        <f>F5-I5</f>
        <v/>
      </c>
    </row>
    <row r="6">
      <c r="A6" s="2" t="n">
        <v>1233</v>
      </c>
      <c r="B6" s="2" t="inlineStr">
        <is>
          <t>3514727012</t>
        </is>
      </c>
      <c r="C6" s="5" t="inlineStr">
        <is>
          <t>ECAT</t>
        </is>
      </c>
      <c r="D6" s="5" t="inlineStr">
        <is>
          <t>FRANCES JOYCE DOYENN</t>
        </is>
      </c>
      <c r="E6" s="2" t="inlineStr">
        <is>
          <t>SARONA</t>
        </is>
      </c>
      <c r="F6" s="3" t="n">
        <v>0</v>
      </c>
      <c r="G6" s="5" t="inlineStr"/>
      <c r="H6" s="5" t="inlineStr"/>
      <c r="I6" s="3">
        <f>SUM(G6:H6)</f>
        <v/>
      </c>
      <c r="J6" s="3">
        <f>F6-I6</f>
        <v/>
      </c>
    </row>
    <row r="7">
      <c r="A7" s="2" t="n">
        <v>1234</v>
      </c>
      <c r="B7" s="2" t="inlineStr">
        <is>
          <t>3474859318</t>
        </is>
      </c>
      <c r="C7" s="5" t="inlineStr">
        <is>
          <t>FORTES</t>
        </is>
      </c>
      <c r="D7" s="5" t="inlineStr">
        <is>
          <t>JOLLIENA</t>
        </is>
      </c>
      <c r="E7" s="2" t="inlineStr">
        <is>
          <t>MACASOJOT</t>
        </is>
      </c>
      <c r="F7" s="3" t="n">
        <v>0</v>
      </c>
      <c r="G7" s="5" t="inlineStr"/>
      <c r="H7" s="5" t="inlineStr"/>
      <c r="I7" s="3">
        <f>SUM(G7:H7)</f>
        <v/>
      </c>
      <c r="J7" s="3">
        <f>F7-I7</f>
        <v/>
      </c>
    </row>
    <row r="8">
      <c r="A8" s="2" t="n">
        <v>1233</v>
      </c>
      <c r="B8" s="2" t="inlineStr">
        <is>
          <t>0251371216</t>
        </is>
      </c>
      <c r="C8" s="5" t="inlineStr">
        <is>
          <t>FRANCISCO JR</t>
        </is>
      </c>
      <c r="D8" s="5" t="inlineStr">
        <is>
          <t>JONATHAN</t>
        </is>
      </c>
      <c r="E8" s="2" t="inlineStr">
        <is>
          <t>GUMIA</t>
        </is>
      </c>
      <c r="F8" s="3" t="n">
        <v>0</v>
      </c>
      <c r="G8" s="5" t="inlineStr"/>
      <c r="H8" s="5" t="inlineStr"/>
      <c r="I8" s="3">
        <f>SUM(G8:H8)</f>
        <v/>
      </c>
      <c r="J8" s="3">
        <f>F8-I8</f>
        <v/>
      </c>
    </row>
    <row r="9">
      <c r="A9" s="2" t="n">
        <v>1235</v>
      </c>
      <c r="B9" s="2" t="inlineStr">
        <is>
          <t>3467578062</t>
        </is>
      </c>
      <c r="C9" s="5" t="inlineStr">
        <is>
          <t>GARCIA</t>
        </is>
      </c>
      <c r="D9" s="5" t="inlineStr">
        <is>
          <t>DANIELLA MAY</t>
        </is>
      </c>
      <c r="E9" s="2" t="inlineStr">
        <is>
          <t>SOPLITO</t>
        </is>
      </c>
      <c r="F9" s="3" t="n">
        <v>0</v>
      </c>
      <c r="G9" s="5" t="inlineStr"/>
      <c r="H9" s="5" t="inlineStr"/>
      <c r="I9" s="3">
        <f>SUM(G9:H9)</f>
        <v/>
      </c>
      <c r="J9" s="3">
        <f>F9-I9</f>
        <v/>
      </c>
    </row>
    <row r="10">
      <c r="A10" s="2" t="n">
        <v>1235</v>
      </c>
      <c r="B10" s="2" t="inlineStr">
        <is>
          <t>3491444816</t>
        </is>
      </c>
      <c r="C10" s="5" t="inlineStr">
        <is>
          <t>GIGANTE</t>
        </is>
      </c>
      <c r="D10" s="5" t="inlineStr">
        <is>
          <t>ELIZABETH</t>
        </is>
      </c>
      <c r="E10" s="2" t="inlineStr">
        <is>
          <t>MAGBOO</t>
        </is>
      </c>
      <c r="F10" s="3" t="n">
        <v>0</v>
      </c>
      <c r="G10" s="5" t="inlineStr"/>
      <c r="H10" s="5" t="inlineStr"/>
      <c r="I10" s="3">
        <f>SUM(G10:H10)</f>
        <v/>
      </c>
      <c r="J10" s="3">
        <f>F10-I10</f>
        <v/>
      </c>
    </row>
    <row r="11">
      <c r="A11" s="2" t="n">
        <v>1235</v>
      </c>
      <c r="B11" s="2" t="inlineStr">
        <is>
          <t>3540802626</t>
        </is>
      </c>
      <c r="C11" s="5" t="inlineStr">
        <is>
          <t>GUEVARRA</t>
        </is>
      </c>
      <c r="D11" s="5" t="inlineStr">
        <is>
          <t>JASON</t>
        </is>
      </c>
      <c r="E11" s="2" t="inlineStr">
        <is>
          <t>ORIOSA</t>
        </is>
      </c>
      <c r="F11" s="3" t="n">
        <v>0</v>
      </c>
      <c r="G11" s="5" t="inlineStr"/>
      <c r="H11" s="5" t="inlineStr"/>
      <c r="I11" s="3">
        <f>SUM(G11:H11)</f>
        <v/>
      </c>
      <c r="J11" s="3">
        <f>F11-I11</f>
        <v/>
      </c>
    </row>
    <row r="12">
      <c r="A12" s="2" t="n">
        <v>275</v>
      </c>
      <c r="B12" s="2" t="inlineStr">
        <is>
          <t>0225189311</t>
        </is>
      </c>
      <c r="C12" s="5" t="inlineStr">
        <is>
          <t>MANECLANG</t>
        </is>
      </c>
      <c r="D12" s="5" t="inlineStr">
        <is>
          <t>MICHAEL</t>
        </is>
      </c>
      <c r="E12" s="2" t="inlineStr">
        <is>
          <t>RELOZA</t>
        </is>
      </c>
      <c r="F12" s="3" t="n">
        <v>0</v>
      </c>
      <c r="G12" s="5" t="inlineStr"/>
      <c r="H12" s="5" t="inlineStr"/>
      <c r="I12" s="3">
        <f>SUM(G12:H12)</f>
        <v/>
      </c>
      <c r="J12" s="3">
        <f>F12-I12</f>
        <v/>
      </c>
    </row>
    <row r="13">
      <c r="A13" s="2" t="n">
        <v>1235</v>
      </c>
      <c r="B13" s="2" t="inlineStr">
        <is>
          <t>3445807713</t>
        </is>
      </c>
      <c r="C13" s="5" t="inlineStr">
        <is>
          <t>MANGAZAR</t>
        </is>
      </c>
      <c r="D13" s="5" t="inlineStr">
        <is>
          <t>GLENABEL</t>
        </is>
      </c>
      <c r="E13" s="2" t="inlineStr">
        <is>
          <t>TRAMBULO</t>
        </is>
      </c>
      <c r="F13" s="3" t="n">
        <v>1222.56</v>
      </c>
      <c r="G13" s="5" t="inlineStr"/>
      <c r="H13" s="5" t="inlineStr"/>
      <c r="I13" s="3">
        <f>SUM(G13:H13)</f>
        <v/>
      </c>
      <c r="J13" s="3">
        <f>F13-I13</f>
        <v/>
      </c>
    </row>
    <row r="14">
      <c r="A14" s="2" t="n">
        <v>1235</v>
      </c>
      <c r="B14" s="2" t="inlineStr">
        <is>
          <t>3513447526</t>
        </is>
      </c>
      <c r="C14" s="5" t="inlineStr">
        <is>
          <t>MASCARDO</t>
        </is>
      </c>
      <c r="D14" s="5" t="inlineStr">
        <is>
          <t>HERSHEY</t>
        </is>
      </c>
      <c r="E14" s="2" t="inlineStr">
        <is>
          <t>DELA CRUZ</t>
        </is>
      </c>
      <c r="F14" s="3" t="n">
        <v>0</v>
      </c>
      <c r="G14" s="5" t="inlineStr"/>
      <c r="H14" s="5" t="inlineStr"/>
      <c r="I14" s="3">
        <f>SUM(G14:H14)</f>
        <v/>
      </c>
      <c r="J14" s="3">
        <f>F14-I14</f>
        <v/>
      </c>
    </row>
    <row r="15">
      <c r="A15" s="2" t="n">
        <v>1233</v>
      </c>
      <c r="B15" s="2" t="inlineStr">
        <is>
          <t>3470988034</t>
        </is>
      </c>
      <c r="C15" s="5" t="inlineStr">
        <is>
          <t>MENDOZA</t>
        </is>
      </c>
      <c r="D15" s="5" t="inlineStr">
        <is>
          <t>EAJAY</t>
        </is>
      </c>
      <c r="E15" s="2" t="inlineStr">
        <is>
          <t>PURA</t>
        </is>
      </c>
      <c r="F15" s="3" t="n">
        <v>1237.39</v>
      </c>
      <c r="G15" s="5" t="inlineStr"/>
      <c r="H15" s="5" t="inlineStr"/>
      <c r="I15" s="3">
        <f>SUM(G15:H15)</f>
        <v/>
      </c>
      <c r="J15" s="3">
        <f>F15-I15</f>
        <v/>
      </c>
    </row>
    <row r="16">
      <c r="A16" s="2" t="n">
        <v>1234</v>
      </c>
      <c r="B16" s="2" t="inlineStr">
        <is>
          <t>3346339254</t>
        </is>
      </c>
      <c r="C16" s="5" t="inlineStr">
        <is>
          <t>MONTEMAYOR</t>
        </is>
      </c>
      <c r="D16" s="5" t="inlineStr">
        <is>
          <t>MICHAEL</t>
        </is>
      </c>
      <c r="E16" s="2" t="inlineStr">
        <is>
          <t>FLORES</t>
        </is>
      </c>
      <c r="F16" s="3" t="n">
        <v>0</v>
      </c>
      <c r="G16" s="5" t="inlineStr"/>
      <c r="H16" s="5" t="inlineStr"/>
      <c r="I16" s="3">
        <f>SUM(G16:H16)</f>
        <v/>
      </c>
      <c r="J16" s="3">
        <f>F16-I16</f>
        <v/>
      </c>
    </row>
    <row r="17">
      <c r="A17" s="2" t="n">
        <v>1234</v>
      </c>
      <c r="B17" s="2" t="inlineStr">
        <is>
          <t>3441441319</t>
        </is>
      </c>
      <c r="C17" s="5" t="inlineStr">
        <is>
          <t>PLAZA</t>
        </is>
      </c>
      <c r="D17" s="5" t="inlineStr">
        <is>
          <t>JOVEN</t>
        </is>
      </c>
      <c r="E17" s="2" t="inlineStr">
        <is>
          <t>HILONGO</t>
        </is>
      </c>
      <c r="F17" s="3" t="n">
        <v>1316.03</v>
      </c>
      <c r="G17" s="5" t="inlineStr"/>
      <c r="H17" s="5" t="inlineStr"/>
      <c r="I17" s="3">
        <f>SUM(G17:H17)</f>
        <v/>
      </c>
      <c r="J17" s="3">
        <f>F17-I17</f>
        <v/>
      </c>
    </row>
    <row r="18">
      <c r="A18" s="2" t="n">
        <v>1235</v>
      </c>
      <c r="B18" s="2" t="inlineStr">
        <is>
          <t>3504846194</t>
        </is>
      </c>
      <c r="C18" s="5" t="inlineStr">
        <is>
          <t>RANES</t>
        </is>
      </c>
      <c r="D18" s="5" t="inlineStr">
        <is>
          <t>AINAH MARIE</t>
        </is>
      </c>
      <c r="E18" s="2" t="inlineStr">
        <is>
          <t>MACAPAGAL</t>
        </is>
      </c>
      <c r="F18" s="3" t="n">
        <v>0</v>
      </c>
      <c r="G18" s="5" t="inlineStr"/>
      <c r="H18" s="5" t="inlineStr"/>
      <c r="I18" s="3">
        <f>SUM(G18:H18)</f>
        <v/>
      </c>
      <c r="J18" s="3">
        <f>F18-I18</f>
        <v/>
      </c>
    </row>
    <row r="19">
      <c r="A19" s="2" t="n">
        <v>1235</v>
      </c>
      <c r="B19" s="2" t="inlineStr">
        <is>
          <t>3494131087</t>
        </is>
      </c>
      <c r="C19" s="5" t="inlineStr">
        <is>
          <t>SALES</t>
        </is>
      </c>
      <c r="D19" s="5" t="inlineStr">
        <is>
          <t>MAICA</t>
        </is>
      </c>
      <c r="E19" s="2" t="n">
        <v/>
      </c>
      <c r="F19" s="3" t="n">
        <v>0</v>
      </c>
      <c r="G19" s="5" t="inlineStr"/>
      <c r="H19" s="5" t="inlineStr"/>
      <c r="I19" s="3">
        <f>SUM(G19:H19)</f>
        <v/>
      </c>
      <c r="J19" s="3">
        <f>F19-I19</f>
        <v/>
      </c>
    </row>
    <row r="20">
      <c r="A20" s="2" t="n">
        <v>646</v>
      </c>
      <c r="B20" s="2" t="inlineStr">
        <is>
          <t>0114772761</t>
        </is>
      </c>
      <c r="C20" s="5" t="inlineStr">
        <is>
          <t>SEMBRANO</t>
        </is>
      </c>
      <c r="D20" s="5" t="inlineStr">
        <is>
          <t>JOEY</t>
        </is>
      </c>
      <c r="E20" s="2" t="inlineStr">
        <is>
          <t>BANTILLO</t>
        </is>
      </c>
      <c r="F20" s="3" t="n">
        <v>0</v>
      </c>
      <c r="G20" s="5" t="inlineStr"/>
      <c r="H20" s="5" t="inlineStr"/>
      <c r="I20" s="3">
        <f>SUM(G20:H20)</f>
        <v/>
      </c>
      <c r="J20" s="3">
        <f>F20-I20</f>
        <v/>
      </c>
    </row>
    <row r="21">
      <c r="A21" s="2" t="n">
        <v>1234</v>
      </c>
      <c r="B21" s="2" t="inlineStr">
        <is>
          <t>3373462026</t>
        </is>
      </c>
      <c r="C21" s="5" t="inlineStr">
        <is>
          <t>TABUZO</t>
        </is>
      </c>
      <c r="D21" s="5" t="inlineStr">
        <is>
          <t>ALBERT</t>
        </is>
      </c>
      <c r="E21" s="2" t="inlineStr">
        <is>
          <t>TOLIBAS</t>
        </is>
      </c>
      <c r="F21" s="3" t="n">
        <v>0</v>
      </c>
      <c r="G21" s="5" t="inlineStr"/>
      <c r="H21" s="5" t="inlineStr"/>
      <c r="I21" s="3">
        <f>SUM(G21:H21)</f>
        <v/>
      </c>
      <c r="J21" s="3">
        <f>F21-I21</f>
        <v/>
      </c>
    </row>
    <row r="22">
      <c r="A22" s="2" t="n">
        <v>1234</v>
      </c>
      <c r="B22" s="2" t="inlineStr">
        <is>
          <t>3390263952</t>
        </is>
      </c>
      <c r="C22" s="5" t="inlineStr">
        <is>
          <t>VILLALUZ</t>
        </is>
      </c>
      <c r="D22" s="5" t="inlineStr">
        <is>
          <t>RAYMOND</t>
        </is>
      </c>
      <c r="E22" s="2" t="inlineStr">
        <is>
          <t>DELA CRUZ</t>
        </is>
      </c>
      <c r="F22" s="3" t="n">
        <v>1338.2</v>
      </c>
      <c r="G22" s="5" t="inlineStr"/>
      <c r="H22" s="5" t="inlineStr"/>
      <c r="I22" s="3">
        <f>SUM(G22:H22)</f>
        <v/>
      </c>
      <c r="J22" s="3">
        <f>F22-I22</f>
        <v/>
      </c>
    </row>
    <row r="23"/>
    <row r="24"/>
    <row r="25">
      <c r="A25" s="8" t="inlineStr">
        <is>
          <t>Total</t>
        </is>
      </c>
      <c r="B25" s="9" t="n"/>
      <c r="C25" s="9" t="n"/>
      <c r="D25" s="9" t="n"/>
      <c r="E25" s="9" t="n"/>
      <c r="F25" s="10">
        <f>SUM(F2:F22)</f>
        <v/>
      </c>
      <c r="G25" s="10">
        <f>SUM(G2:G22)</f>
        <v/>
      </c>
      <c r="H25" s="10">
        <f>SUM(H2:H22)</f>
        <v/>
      </c>
      <c r="I25" s="10">
        <f>SUM(I2:I22)</f>
        <v/>
      </c>
      <c r="J25" s="10">
        <f>SUM(J2:J22)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benefits76</dc:creator>
  <dcterms:created xsi:type="dcterms:W3CDTF">2026-07-06T06:42:30Z</dcterms:created>
  <dcterms:modified xsi:type="dcterms:W3CDTF">2026-07-13T05:10:02Z</dcterms:modified>
  <cp:lastModifiedBy>Gilmar Mansujeto</cp:lastModifiedBy>
</cp:coreProperties>
</file>